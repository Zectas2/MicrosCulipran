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t 1" sheetId="1" r:id="rId4"/>
    <sheet state="visible" name="Print 2" sheetId="2" r:id="rId5"/>
    <sheet state="visible" name="Print 3" sheetId="3" r:id="rId6"/>
    <sheet state="visible" name="Print 4" sheetId="4" r:id="rId7"/>
    <sheet state="visible" name="Print 5" sheetId="5" r:id="rId8"/>
    <sheet state="visible" name="Print 6" sheetId="6" r:id="rId9"/>
  </sheets>
  <definedNames/>
  <calcPr/>
  <extLst>
    <ext uri="GoogleSheetsCustomDataVersion2">
      <go:sheetsCustomData xmlns:go="http://customooxmlschemas.google.com/" r:id="rId10" roundtripDataChecksum="QgSEGFGalo2BtQ5KU+iUwTD40cz3ml2T1qPv3WzHLKg="/>
    </ext>
  </extLst>
</workbook>
</file>

<file path=xl/sharedStrings.xml><?xml version="1.0" encoding="utf-8"?>
<sst xmlns="http://schemas.openxmlformats.org/spreadsheetml/2006/main" count="68" uniqueCount="33">
  <si>
    <t>Control del Sprint 4 de 1 -10 dias</t>
  </si>
  <si>
    <t>Control del Sprint 1 de 1 -10 dias</t>
  </si>
  <si>
    <t>Control del Sprint 2 de 1 -10 dias</t>
  </si>
  <si>
    <t>Historias de Usuario o Spike</t>
  </si>
  <si>
    <t>horas estimadas</t>
  </si>
  <si>
    <t>Control del Sprint 3 de 1 -10 dias</t>
  </si>
  <si>
    <t>DIA</t>
  </si>
  <si>
    <t>Total</t>
  </si>
  <si>
    <t>Consultar información del recorrido</t>
  </si>
  <si>
    <t>Consultar horarios y recorridos</t>
  </si>
  <si>
    <t>Visualizar vehículos disponibles</t>
  </si>
  <si>
    <t>Consultar rutas asignadas</t>
  </si>
  <si>
    <t>Consultar ubicación de un vehículo</t>
  </si>
  <si>
    <t>Consultar tiempo promedio de viaje</t>
  </si>
  <si>
    <t>Visualizar indicadores</t>
  </si>
  <si>
    <t>Visualizar dashboard administrativo</t>
  </si>
  <si>
    <t>Consultar rutas disponibles</t>
  </si>
  <si>
    <t>Iniciar sesión</t>
  </si>
  <si>
    <t>Consultar recorridos asignados</t>
  </si>
  <si>
    <t>Consultar horarios asignados</t>
  </si>
  <si>
    <t>Acceder al módulo administrativo</t>
  </si>
  <si>
    <t>Reales de producto por realizar</t>
  </si>
  <si>
    <t>Consultar información operacional</t>
  </si>
  <si>
    <t>Consultar horarios</t>
  </si>
  <si>
    <t>Consultar tarifas</t>
  </si>
  <si>
    <t>Estimadas de producto por realizar</t>
  </si>
  <si>
    <t>Control del Sprint 6 de 1 -10 dias</t>
  </si>
  <si>
    <t>Control del Sprint 5 de 1 -10 dias</t>
  </si>
  <si>
    <t>Elaborar plan y casos de prueba</t>
  </si>
  <si>
    <t>Ejecutar pruebas del módulo público</t>
  </si>
  <si>
    <t>Ejecutar pruebas del módulo de conductores</t>
  </si>
  <si>
    <t>Ejecutar pruebas del módulo administrativo</t>
  </si>
  <si>
    <t>Ejecutar pruebas de integración y seguridad básica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</si>
</sst>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1" fillId="2" fontId="2" numFmtId="0" xfId="0" applyBorder="1" applyFill="1" applyFont="1"/>
    <xf borderId="6" fillId="0" fontId="3" numFmtId="0" xfId="0" applyBorder="1" applyFont="1"/>
    <xf borderId="7" fillId="3" fontId="2" numFmtId="0" xfId="0" applyAlignment="1" applyBorder="1" applyFill="1" applyFont="1">
      <alignment readingOrder="0"/>
    </xf>
    <xf borderId="8" fillId="3" fontId="2" numFmtId="0" xfId="0" applyAlignment="1" applyBorder="1" applyFill="1" applyFont="1">
      <alignment horizontal="center" readingOrder="0" shrinkToFit="0" wrapText="1"/>
    </xf>
    <xf borderId="9" fillId="3" fontId="2" numFmtId="0" xfId="0" applyAlignment="1" applyBorder="1" applyFill="1" applyFont="1">
      <alignment readingOrder="0"/>
    </xf>
    <xf borderId="10" fillId="3" fontId="2" numFmtId="0" xfId="0" applyAlignment="1" applyBorder="1" applyFill="1" applyFont="1">
      <alignment readingOrder="0"/>
    </xf>
    <xf borderId="10" fillId="3" fontId="2" numFmtId="0" xfId="0" applyBorder="1" applyFill="1" applyFont="1"/>
    <xf borderId="1" fillId="4" fontId="2" numFmtId="0" xfId="0" applyBorder="1" applyFill="1" applyFont="1"/>
    <xf borderId="11" fillId="3" fontId="2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horizontal="center" readingOrder="0" shrinkToFit="0" wrapText="1"/>
    </xf>
    <xf borderId="12" fillId="3" fontId="2" numFmtId="0" xfId="0" applyBorder="1" applyFill="1" applyFont="1"/>
    <xf borderId="0" fillId="3" fontId="2" numFmtId="0" xfId="0" applyAlignment="1" applyFill="1" applyFont="1">
      <alignment readingOrder="0"/>
    </xf>
    <xf borderId="0" fillId="3" fontId="2" numFmtId="0" xfId="0" applyFill="1" applyFont="1"/>
    <xf borderId="6" fillId="4" fontId="2" numFmtId="0" xfId="0" applyBorder="1" applyFill="1" applyFont="1"/>
    <xf borderId="13" fillId="3" fontId="2" numFmtId="0" xfId="0" applyAlignment="1" applyBorder="1" applyFill="1" applyFont="1">
      <alignment readingOrder="0"/>
    </xf>
    <xf borderId="14" fillId="3" fontId="2" numFmtId="0" xfId="0" applyAlignment="1" applyBorder="1" applyFill="1" applyFont="1">
      <alignment readingOrder="0"/>
    </xf>
    <xf borderId="15" fillId="3" fontId="2" numFmtId="0" xfId="0" applyAlignment="1" applyBorder="1" applyFill="1" applyFont="1">
      <alignment horizontal="center" readingOrder="0" shrinkToFit="0" wrapText="1"/>
    </xf>
    <xf borderId="16" fillId="3" fontId="2" numFmtId="0" xfId="0" applyBorder="1" applyFill="1" applyFont="1"/>
    <xf borderId="17" fillId="3" fontId="2" numFmtId="0" xfId="0" applyBorder="1" applyFill="1" applyFont="1"/>
    <xf borderId="17" fillId="3" fontId="2" numFmtId="0" xfId="0" applyAlignment="1" applyBorder="1" applyFill="1" applyFont="1">
      <alignment readingOrder="0"/>
    </xf>
    <xf borderId="5" fillId="4" fontId="2" numFmtId="0" xfId="0" applyBorder="1" applyFill="1" applyFont="1"/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2" numFmtId="0" xfId="0" applyFont="1"/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'Print 1'!$C$4:$L$4</c:f>
            </c:strRef>
          </c:cat>
          <c:val>
            <c:numRef>
              <c:f>'Print 1'!$B$11:$L$11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'Print 1'!$C$4:$L$4</c:f>
            </c:strRef>
          </c:cat>
          <c:val>
            <c:numRef>
              <c:f>'Print 1'!$B$13:$L$13</c:f>
              <c:numCache/>
            </c:numRef>
          </c:val>
          <c:smooth val="0"/>
        </c:ser>
        <c:axId val="1434818799"/>
        <c:axId val="2041593907"/>
      </c:lineChart>
      <c:catAx>
        <c:axId val="1434818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1593907"/>
      </c:catAx>
      <c:valAx>
        <c:axId val="20415939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481879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'Print 2'!$C$4:$L$4</c:f>
            </c:strRef>
          </c:cat>
          <c:val>
            <c:numRef>
              <c:f>'Print 2'!$B$10:$L$10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'Print 2'!$C$4:$L$4</c:f>
            </c:strRef>
          </c:cat>
          <c:val>
            <c:numRef>
              <c:f>'Print 2'!$B$12:$L$12</c:f>
              <c:numCache/>
            </c:numRef>
          </c:val>
          <c:smooth val="0"/>
        </c:ser>
        <c:axId val="799144829"/>
        <c:axId val="2109593942"/>
      </c:lineChart>
      <c:catAx>
        <c:axId val="7991448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9593942"/>
      </c:catAx>
      <c:valAx>
        <c:axId val="2109593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9914482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'Print 3'!$C$4:$L$4</c:f>
            </c:strRef>
          </c:cat>
          <c:val>
            <c:numRef>
              <c:f>'Print 3'!$B$10:$L$10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'Print 3'!$C$4:$L$4</c:f>
            </c:strRef>
          </c:cat>
          <c:val>
            <c:numRef>
              <c:f>'Print 3'!$B$12:$L$12</c:f>
              <c:numCache/>
            </c:numRef>
          </c:val>
          <c:smooth val="0"/>
        </c:ser>
        <c:axId val="1515221613"/>
        <c:axId val="441544089"/>
      </c:lineChart>
      <c:catAx>
        <c:axId val="1515221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41544089"/>
      </c:catAx>
      <c:valAx>
        <c:axId val="441544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1522161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'Print 4'!$C$4:$L$4</c:f>
            </c:strRef>
          </c:cat>
          <c:val>
            <c:numRef>
              <c:f>'Print 4'!$B$9:$L$9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'Print 4'!$C$4:$L$4</c:f>
            </c:strRef>
          </c:cat>
          <c:val>
            <c:numRef>
              <c:f>'Print 4'!$B$11:$L$11</c:f>
              <c:numCache/>
            </c:numRef>
          </c:val>
          <c:smooth val="0"/>
        </c:ser>
        <c:axId val="1170679374"/>
        <c:axId val="1970499585"/>
      </c:lineChart>
      <c:catAx>
        <c:axId val="1170679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70499585"/>
      </c:catAx>
      <c:valAx>
        <c:axId val="1970499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7067937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'Print 5'!$C$4:$L$4</c:f>
            </c:strRef>
          </c:cat>
          <c:val>
            <c:numRef>
              <c:f>'Print 5'!$B$11:$L$11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'Print 5'!$C$4:$L$4</c:f>
            </c:strRef>
          </c:cat>
          <c:val>
            <c:numRef>
              <c:f>'Print 5'!$B$13:$L$13</c:f>
              <c:numCache/>
            </c:numRef>
          </c:val>
          <c:smooth val="0"/>
        </c:ser>
        <c:axId val="969447696"/>
        <c:axId val="612984770"/>
      </c:lineChart>
      <c:catAx>
        <c:axId val="969447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12984770"/>
      </c:catAx>
      <c:valAx>
        <c:axId val="6129847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6944769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'Print 6'!$C$4:$L$4</c:f>
            </c:strRef>
          </c:cat>
          <c:val>
            <c:numRef>
              <c:f>'Print 6'!$B$11:$L$11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'Print 6'!$C$4:$L$4</c:f>
            </c:strRef>
          </c:cat>
          <c:val>
            <c:numRef>
              <c:f>'Print 6'!$B$13:$L$13</c:f>
              <c:numCache/>
            </c:numRef>
          </c:val>
          <c:smooth val="0"/>
        </c:ser>
        <c:axId val="104208416"/>
        <c:axId val="2067542159"/>
      </c:lineChart>
      <c:catAx>
        <c:axId val="10420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7542159"/>
      </c:catAx>
      <c:valAx>
        <c:axId val="20675421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20841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1</xdr:row>
      <xdr:rowOff>142875</xdr:rowOff>
    </xdr:from>
    <xdr:ext cx="3524250" cy="3257550"/>
    <xdr:graphicFrame>
      <xdr:nvGraphicFramePr>
        <xdr:cNvPr id="173771362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1</xdr:row>
      <xdr:rowOff>142875</xdr:rowOff>
    </xdr:from>
    <xdr:ext cx="3524250" cy="3257550"/>
    <xdr:graphicFrame>
      <xdr:nvGraphicFramePr>
        <xdr:cNvPr id="149877628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28575</xdr:colOff>
      <xdr:row>1</xdr:row>
      <xdr:rowOff>142875</xdr:rowOff>
    </xdr:from>
    <xdr:ext cx="3524250" cy="3257550"/>
    <xdr:graphicFrame>
      <xdr:nvGraphicFramePr>
        <xdr:cNvPr id="48550916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1</xdr:row>
      <xdr:rowOff>142875</xdr:rowOff>
    </xdr:from>
    <xdr:ext cx="3524250" cy="3257550"/>
    <xdr:graphicFrame>
      <xdr:nvGraphicFramePr>
        <xdr:cNvPr id="169134408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1</xdr:row>
      <xdr:rowOff>142875</xdr:rowOff>
    </xdr:from>
    <xdr:ext cx="3524250" cy="3257550"/>
    <xdr:graphicFrame>
      <xdr:nvGraphicFramePr>
        <xdr:cNvPr id="2086316462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1</xdr:row>
      <xdr:rowOff>142875</xdr:rowOff>
    </xdr:from>
    <xdr:ext cx="3524250" cy="3257550"/>
    <xdr:graphicFrame>
      <xdr:nvGraphicFramePr>
        <xdr:cNvPr id="3632555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2" width="17.0"/>
    <col customWidth="1" min="3" max="3" width="3.57"/>
    <col customWidth="1" min="4" max="4" width="3.29"/>
    <col customWidth="1" min="5" max="12" width="3.57"/>
    <col customWidth="1" min="13" max="19" width="10.71"/>
  </cols>
  <sheetData>
    <row r="1">
      <c r="A1" s="1" t="s">
        <v>1</v>
      </c>
    </row>
    <row r="3">
      <c r="A3" s="2" t="s">
        <v>3</v>
      </c>
      <c r="B3" s="2" t="s">
        <v>4</v>
      </c>
      <c r="C3" s="3" t="s">
        <v>6</v>
      </c>
      <c r="D3" s="4"/>
      <c r="E3" s="4"/>
      <c r="F3" s="4"/>
      <c r="G3" s="4"/>
      <c r="H3" s="4"/>
      <c r="I3" s="4"/>
      <c r="J3" s="4"/>
      <c r="K3" s="4"/>
      <c r="L3" s="5"/>
      <c r="M3" s="2" t="s">
        <v>7</v>
      </c>
    </row>
    <row r="4">
      <c r="A4" s="6"/>
      <c r="B4" s="6"/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  <c r="M4" s="8"/>
    </row>
    <row r="5">
      <c r="A5" s="9" t="s">
        <v>10</v>
      </c>
      <c r="B5" s="10">
        <v>8.0</v>
      </c>
      <c r="C5" s="11">
        <v>4.0</v>
      </c>
      <c r="D5" s="12">
        <v>4.0</v>
      </c>
      <c r="E5" s="13"/>
      <c r="F5" s="13"/>
      <c r="G5" s="13"/>
      <c r="H5" s="13"/>
      <c r="I5" s="13"/>
      <c r="J5" s="13"/>
      <c r="K5" s="13"/>
      <c r="L5" s="13"/>
      <c r="M5" s="14">
        <f t="shared" ref="M5:M9" si="1">SUM(C5:L5)</f>
        <v>8</v>
      </c>
    </row>
    <row r="6">
      <c r="A6" s="15" t="s">
        <v>12</v>
      </c>
      <c r="B6" s="16">
        <v>12.0</v>
      </c>
      <c r="C6" s="17"/>
      <c r="D6" s="18"/>
      <c r="E6" s="18">
        <v>6.0</v>
      </c>
      <c r="F6" s="18">
        <v>6.0</v>
      </c>
      <c r="G6" s="18"/>
      <c r="H6" s="18"/>
      <c r="I6" s="19"/>
      <c r="J6" s="19"/>
      <c r="K6" s="19"/>
      <c r="L6" s="19"/>
      <c r="M6" s="20">
        <f t="shared" si="1"/>
        <v>12</v>
      </c>
    </row>
    <row r="7">
      <c r="A7" s="22" t="s">
        <v>16</v>
      </c>
      <c r="B7" s="23">
        <v>8.0</v>
      </c>
      <c r="C7" s="17"/>
      <c r="D7" s="19"/>
      <c r="E7" s="19"/>
      <c r="F7" s="19"/>
      <c r="G7" s="18">
        <v>4.0</v>
      </c>
      <c r="H7" s="18">
        <v>4.0</v>
      </c>
      <c r="I7" s="18"/>
      <c r="J7" s="18"/>
      <c r="K7" s="19"/>
      <c r="L7" s="19"/>
      <c r="M7" s="20">
        <f t="shared" si="1"/>
        <v>8</v>
      </c>
    </row>
    <row r="8">
      <c r="A8" s="15" t="s">
        <v>23</v>
      </c>
      <c r="B8" s="16">
        <v>7.0</v>
      </c>
      <c r="C8" s="17"/>
      <c r="D8" s="19"/>
      <c r="E8" s="19"/>
      <c r="F8" s="19"/>
      <c r="G8" s="19"/>
      <c r="H8" s="19"/>
      <c r="I8" s="18">
        <v>4.0</v>
      </c>
      <c r="J8" s="18">
        <v>3.0</v>
      </c>
      <c r="K8" s="18"/>
      <c r="L8" s="18"/>
      <c r="M8" s="20">
        <f t="shared" si="1"/>
        <v>7</v>
      </c>
    </row>
    <row r="9">
      <c r="A9" s="15" t="s">
        <v>24</v>
      </c>
      <c r="B9" s="16">
        <v>4.0</v>
      </c>
      <c r="C9" s="24"/>
      <c r="D9" s="25"/>
      <c r="E9" s="25"/>
      <c r="F9" s="25"/>
      <c r="G9" s="25"/>
      <c r="H9" s="25"/>
      <c r="I9" s="25"/>
      <c r="J9" s="25"/>
      <c r="K9" s="26">
        <v>2.0</v>
      </c>
      <c r="L9" s="26">
        <v>2.0</v>
      </c>
      <c r="M9" s="27">
        <f t="shared" si="1"/>
        <v>4</v>
      </c>
    </row>
    <row r="11">
      <c r="A11" s="28" t="s">
        <v>21</v>
      </c>
      <c r="B11" s="30">
        <f>SUM(B5:B9)</f>
        <v>39</v>
      </c>
      <c r="C11" s="29">
        <f t="shared" ref="C11:L11" si="2">B11-SUM(C5:C9)</f>
        <v>35</v>
      </c>
      <c r="D11" s="29">
        <f t="shared" si="2"/>
        <v>31</v>
      </c>
      <c r="E11" s="29">
        <f t="shared" si="2"/>
        <v>25</v>
      </c>
      <c r="F11" s="29">
        <f t="shared" si="2"/>
        <v>19</v>
      </c>
      <c r="G11" s="29">
        <f t="shared" si="2"/>
        <v>15</v>
      </c>
      <c r="H11" s="29">
        <f t="shared" si="2"/>
        <v>11</v>
      </c>
      <c r="I11" s="29">
        <f t="shared" si="2"/>
        <v>7</v>
      </c>
      <c r="J11" s="29">
        <f t="shared" si="2"/>
        <v>4</v>
      </c>
      <c r="K11" s="29">
        <f t="shared" si="2"/>
        <v>2</v>
      </c>
      <c r="L11" s="29">
        <f t="shared" si="2"/>
        <v>0</v>
      </c>
      <c r="M11" s="30">
        <f>SUM(M5:M9)</f>
        <v>39</v>
      </c>
    </row>
    <row r="13">
      <c r="A13" s="28" t="s">
        <v>25</v>
      </c>
      <c r="B13" s="30">
        <f>SUM(B5:B9)</f>
        <v>39</v>
      </c>
      <c r="C13" s="30">
        <f t="shared" ref="C13:L13" si="3">B13-(SUM($B$5:$B$9)/10)</f>
        <v>35.1</v>
      </c>
      <c r="D13" s="30">
        <f t="shared" si="3"/>
        <v>31.2</v>
      </c>
      <c r="E13" s="30">
        <f t="shared" si="3"/>
        <v>27.3</v>
      </c>
      <c r="F13" s="30">
        <f t="shared" si="3"/>
        <v>23.4</v>
      </c>
      <c r="G13" s="30">
        <f t="shared" si="3"/>
        <v>19.5</v>
      </c>
      <c r="H13" s="30">
        <f t="shared" si="3"/>
        <v>15.6</v>
      </c>
      <c r="I13" s="30">
        <f t="shared" si="3"/>
        <v>11.7</v>
      </c>
      <c r="J13" s="30">
        <f t="shared" si="3"/>
        <v>7.8</v>
      </c>
      <c r="K13" s="30">
        <f t="shared" si="3"/>
        <v>3.9</v>
      </c>
      <c r="L13" s="30">
        <f t="shared" si="3"/>
        <v>0</v>
      </c>
    </row>
    <row r="15">
      <c r="A15" s="31"/>
      <c r="B15" s="32"/>
      <c r="C15" s="31"/>
      <c r="D15" s="31"/>
      <c r="E15" s="31"/>
      <c r="F15" s="31"/>
      <c r="G15" s="31"/>
      <c r="H15" s="31"/>
      <c r="I15" s="31"/>
    </row>
    <row r="16">
      <c r="A16" s="31"/>
      <c r="B16" s="32"/>
      <c r="C16" s="31"/>
      <c r="D16" s="31"/>
      <c r="E16" s="31"/>
      <c r="F16" s="31"/>
      <c r="G16" s="32"/>
      <c r="H16" s="31"/>
      <c r="I16" s="31"/>
    </row>
    <row r="17">
      <c r="A17" s="31"/>
      <c r="B17" s="32"/>
      <c r="C17" s="31"/>
      <c r="D17" s="31"/>
      <c r="E17" s="31"/>
      <c r="F17" s="31"/>
      <c r="G17" s="32"/>
      <c r="H17" s="31"/>
      <c r="I17" s="31"/>
    </row>
    <row r="18">
      <c r="A18" s="31"/>
      <c r="B18" s="32"/>
      <c r="C18" s="31"/>
      <c r="D18" s="31"/>
      <c r="E18" s="31"/>
      <c r="F18" s="31"/>
      <c r="G18" s="32"/>
      <c r="H18" s="31"/>
      <c r="I18" s="31"/>
    </row>
    <row r="19">
      <c r="A19" s="31"/>
      <c r="B19" s="32"/>
      <c r="C19" s="31"/>
      <c r="D19" s="31"/>
      <c r="E19" s="31"/>
      <c r="F19" s="31"/>
      <c r="G19" s="32"/>
      <c r="H19" s="31"/>
      <c r="I19" s="31"/>
    </row>
    <row r="20" ht="15.75" customHeight="1">
      <c r="A20" s="31"/>
      <c r="B20" s="32"/>
      <c r="C20" s="31"/>
      <c r="D20" s="31"/>
      <c r="E20" s="31"/>
      <c r="F20" s="31"/>
      <c r="G20" s="32"/>
      <c r="H20" s="31"/>
      <c r="I20" s="31"/>
    </row>
    <row r="21" ht="15.75" customHeight="1">
      <c r="A21" s="31"/>
      <c r="B21" s="32"/>
      <c r="C21" s="31"/>
      <c r="D21" s="31"/>
      <c r="E21" s="31"/>
      <c r="F21" s="31"/>
      <c r="G21" s="32"/>
      <c r="H21" s="31"/>
      <c r="I21" s="31"/>
    </row>
    <row r="22" ht="15.75" customHeight="1">
      <c r="A22" s="31"/>
      <c r="B22" s="32"/>
      <c r="C22" s="31"/>
      <c r="D22" s="31"/>
      <c r="E22" s="31"/>
      <c r="F22" s="31"/>
      <c r="G22" s="31"/>
      <c r="H22" s="31"/>
      <c r="I22" s="31"/>
    </row>
    <row r="23" ht="15.75" customHeight="1">
      <c r="A23" s="31"/>
      <c r="B23" s="32"/>
      <c r="C23" s="31"/>
      <c r="D23" s="31"/>
      <c r="E23" s="31"/>
      <c r="F23" s="31"/>
      <c r="G23" s="31"/>
      <c r="H23" s="31"/>
      <c r="I23" s="31"/>
    </row>
    <row r="24" ht="15.75" customHeight="1">
      <c r="A24" s="31"/>
      <c r="B24" s="32"/>
      <c r="C24" s="31"/>
      <c r="D24" s="31"/>
      <c r="E24" s="31"/>
      <c r="F24" s="31"/>
      <c r="G24" s="31"/>
      <c r="H24" s="31"/>
      <c r="I24" s="31"/>
    </row>
    <row r="25" ht="15.75" customHeight="1">
      <c r="A25" s="31"/>
      <c r="B25" s="32"/>
      <c r="C25" s="31"/>
      <c r="D25" s="31"/>
      <c r="E25" s="31"/>
      <c r="F25" s="31"/>
      <c r="G25" s="31"/>
      <c r="H25" s="31"/>
      <c r="I25" s="31"/>
    </row>
    <row r="26" ht="15.75" customHeight="1">
      <c r="A26" s="31"/>
      <c r="B26" s="32"/>
      <c r="C26" s="31"/>
      <c r="D26" s="31"/>
      <c r="E26" s="31"/>
      <c r="F26" s="31"/>
      <c r="G26" s="31"/>
      <c r="H26" s="31"/>
      <c r="I26" s="31"/>
    </row>
    <row r="27" ht="15.75" customHeight="1">
      <c r="A27" s="31"/>
      <c r="B27" s="32"/>
      <c r="C27" s="31"/>
      <c r="D27" s="31"/>
      <c r="E27" s="31"/>
      <c r="F27" s="31"/>
      <c r="G27" s="31"/>
      <c r="H27" s="31"/>
      <c r="I27" s="31"/>
    </row>
    <row r="28" ht="15.75" customHeight="1">
      <c r="A28" s="31"/>
      <c r="B28" s="32"/>
      <c r="C28" s="31"/>
      <c r="D28" s="31"/>
      <c r="E28" s="31"/>
      <c r="F28" s="31"/>
      <c r="G28" s="31"/>
      <c r="H28" s="31"/>
      <c r="I28" s="31"/>
    </row>
    <row r="29" ht="15.75" customHeight="1">
      <c r="A29" s="31"/>
      <c r="B29" s="32"/>
      <c r="C29" s="31"/>
    </row>
    <row r="30" ht="15.75" customHeight="1">
      <c r="A30" s="31"/>
      <c r="B30" s="32"/>
      <c r="C30" s="31"/>
    </row>
    <row r="31" ht="15.75" customHeight="1">
      <c r="A31" s="31"/>
      <c r="B31" s="32"/>
      <c r="C31" s="3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3:A4"/>
    <mergeCell ref="B3:B4"/>
    <mergeCell ref="M3:M4"/>
    <mergeCell ref="C3:L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2" width="17.0"/>
    <col customWidth="1" min="3" max="12" width="3.57"/>
    <col customWidth="1" min="13" max="19" width="10.71"/>
  </cols>
  <sheetData>
    <row r="1">
      <c r="A1" s="1" t="s">
        <v>2</v>
      </c>
    </row>
    <row r="3">
      <c r="A3" s="2" t="s">
        <v>3</v>
      </c>
      <c r="B3" s="2" t="s">
        <v>4</v>
      </c>
      <c r="C3" s="3" t="s">
        <v>6</v>
      </c>
      <c r="D3" s="4"/>
      <c r="E3" s="4"/>
      <c r="F3" s="4"/>
      <c r="G3" s="4"/>
      <c r="H3" s="4"/>
      <c r="I3" s="4"/>
      <c r="J3" s="4"/>
      <c r="K3" s="4"/>
      <c r="L3" s="5"/>
      <c r="M3" s="2" t="s">
        <v>7</v>
      </c>
    </row>
    <row r="4">
      <c r="A4" s="6"/>
      <c r="B4" s="6"/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  <c r="M4" s="8"/>
    </row>
    <row r="5">
      <c r="A5" s="9" t="s">
        <v>8</v>
      </c>
      <c r="B5" s="10">
        <v>7.0</v>
      </c>
      <c r="C5" s="11">
        <v>3.0</v>
      </c>
      <c r="D5" s="12">
        <v>4.0</v>
      </c>
      <c r="E5" s="13"/>
      <c r="F5" s="13"/>
      <c r="G5" s="13"/>
      <c r="H5" s="13"/>
      <c r="I5" s="13"/>
      <c r="J5" s="13"/>
      <c r="K5" s="13"/>
      <c r="L5" s="13"/>
      <c r="M5" s="14">
        <f t="shared" ref="M5:M8" si="1">SUM(C5:L5)</f>
        <v>7</v>
      </c>
    </row>
    <row r="6">
      <c r="A6" s="15" t="s">
        <v>13</v>
      </c>
      <c r="B6" s="16">
        <v>11.0</v>
      </c>
      <c r="C6" s="17"/>
      <c r="D6" s="18"/>
      <c r="E6" s="18">
        <v>4.0</v>
      </c>
      <c r="F6" s="18">
        <v>4.0</v>
      </c>
      <c r="G6" s="18">
        <v>3.0</v>
      </c>
      <c r="H6" s="18"/>
      <c r="I6" s="19"/>
      <c r="J6" s="19"/>
      <c r="K6" s="19"/>
      <c r="L6" s="19"/>
      <c r="M6" s="20">
        <f t="shared" si="1"/>
        <v>11</v>
      </c>
    </row>
    <row r="7">
      <c r="A7" s="22" t="s">
        <v>17</v>
      </c>
      <c r="B7" s="23">
        <v>9.0</v>
      </c>
      <c r="C7" s="17"/>
      <c r="D7" s="19"/>
      <c r="E7" s="19"/>
      <c r="F7" s="19"/>
      <c r="G7" s="19"/>
      <c r="H7" s="18">
        <v>3.0</v>
      </c>
      <c r="I7" s="18">
        <v>3.0</v>
      </c>
      <c r="J7" s="18">
        <v>3.0</v>
      </c>
      <c r="K7" s="18"/>
      <c r="L7" s="18"/>
      <c r="M7" s="20">
        <f t="shared" si="1"/>
        <v>9</v>
      </c>
    </row>
    <row r="8">
      <c r="A8" s="15" t="s">
        <v>19</v>
      </c>
      <c r="B8" s="16">
        <v>7.0</v>
      </c>
      <c r="C8" s="17"/>
      <c r="D8" s="19"/>
      <c r="E8" s="19"/>
      <c r="F8" s="19"/>
      <c r="G8" s="19"/>
      <c r="H8" s="19"/>
      <c r="I8" s="19"/>
      <c r="J8" s="19"/>
      <c r="K8" s="18">
        <v>4.0</v>
      </c>
      <c r="L8" s="18">
        <v>3.0</v>
      </c>
      <c r="M8" s="27">
        <f t="shared" si="1"/>
        <v>7</v>
      </c>
    </row>
    <row r="10">
      <c r="A10" s="28" t="s">
        <v>21</v>
      </c>
      <c r="B10" s="29">
        <v>34.0</v>
      </c>
      <c r="C10" s="29">
        <f t="shared" ref="C10:L10" si="2">B10-SUM(C5:C8)</f>
        <v>31</v>
      </c>
      <c r="D10" s="29">
        <f t="shared" si="2"/>
        <v>27</v>
      </c>
      <c r="E10" s="29">
        <f t="shared" si="2"/>
        <v>23</v>
      </c>
      <c r="F10" s="29">
        <f t="shared" si="2"/>
        <v>19</v>
      </c>
      <c r="G10" s="29">
        <f t="shared" si="2"/>
        <v>16</v>
      </c>
      <c r="H10" s="29">
        <f t="shared" si="2"/>
        <v>13</v>
      </c>
      <c r="I10" s="29">
        <f t="shared" si="2"/>
        <v>10</v>
      </c>
      <c r="J10" s="29">
        <f t="shared" si="2"/>
        <v>7</v>
      </c>
      <c r="K10" s="29">
        <f t="shared" si="2"/>
        <v>3</v>
      </c>
      <c r="L10" s="29">
        <f t="shared" si="2"/>
        <v>0</v>
      </c>
      <c r="M10" s="30">
        <f>SUM(M5:M8)</f>
        <v>34</v>
      </c>
    </row>
    <row r="12">
      <c r="A12" s="28" t="s">
        <v>25</v>
      </c>
      <c r="B12" s="29">
        <v>34.0</v>
      </c>
      <c r="C12" s="30">
        <f t="shared" ref="C12:L12" si="3">B12-(SUM($B$5:$B$8)/10)</f>
        <v>30.6</v>
      </c>
      <c r="D12" s="30">
        <f t="shared" si="3"/>
        <v>27.2</v>
      </c>
      <c r="E12" s="30">
        <f t="shared" si="3"/>
        <v>23.8</v>
      </c>
      <c r="F12" s="30">
        <f t="shared" si="3"/>
        <v>20.4</v>
      </c>
      <c r="G12" s="30">
        <f t="shared" si="3"/>
        <v>17</v>
      </c>
      <c r="H12" s="30">
        <f t="shared" si="3"/>
        <v>13.6</v>
      </c>
      <c r="I12" s="30">
        <f t="shared" si="3"/>
        <v>10.2</v>
      </c>
      <c r="J12" s="30">
        <f t="shared" si="3"/>
        <v>6.8</v>
      </c>
      <c r="K12" s="30">
        <f t="shared" si="3"/>
        <v>3.4</v>
      </c>
      <c r="L12" s="30">
        <f t="shared" si="3"/>
        <v>0</v>
      </c>
    </row>
    <row r="14">
      <c r="A14" s="31"/>
      <c r="B14" s="32"/>
      <c r="C14" s="31"/>
      <c r="D14" s="31"/>
      <c r="E14" s="31"/>
      <c r="F14" s="31"/>
      <c r="G14" s="31"/>
      <c r="H14" s="31"/>
      <c r="I14" s="31"/>
    </row>
    <row r="15">
      <c r="A15" s="31"/>
      <c r="B15" s="32"/>
      <c r="C15" s="31"/>
      <c r="D15" s="31"/>
      <c r="E15" s="31"/>
      <c r="F15" s="31"/>
      <c r="G15" s="32"/>
      <c r="H15" s="31"/>
      <c r="I15" s="31"/>
    </row>
    <row r="16">
      <c r="A16" s="31"/>
      <c r="B16" s="32"/>
      <c r="C16" s="31"/>
      <c r="D16" s="31"/>
      <c r="E16" s="31"/>
      <c r="F16" s="31"/>
      <c r="G16" s="32"/>
      <c r="H16" s="31"/>
      <c r="I16" s="31"/>
    </row>
    <row r="17">
      <c r="A17" s="31"/>
      <c r="B17" s="32"/>
      <c r="C17" s="31"/>
      <c r="D17" s="31"/>
      <c r="E17" s="31"/>
      <c r="F17" s="31"/>
      <c r="G17" s="32"/>
      <c r="H17" s="31"/>
      <c r="I17" s="31"/>
    </row>
    <row r="18">
      <c r="A18" s="31"/>
      <c r="B18" s="31"/>
      <c r="C18" s="31"/>
      <c r="D18" s="31"/>
      <c r="E18" s="31"/>
      <c r="F18" s="31"/>
      <c r="G18" s="32"/>
      <c r="H18" s="31"/>
      <c r="I18" s="31"/>
    </row>
    <row r="19" ht="15.75" customHeight="1">
      <c r="A19" s="31"/>
      <c r="B19" s="31"/>
      <c r="C19" s="31"/>
      <c r="D19" s="31"/>
      <c r="E19" s="31"/>
      <c r="F19" s="31"/>
      <c r="G19" s="32"/>
      <c r="H19" s="31"/>
      <c r="I19" s="31"/>
    </row>
    <row r="20" ht="15.75" customHeight="1">
      <c r="A20" s="31"/>
      <c r="B20" s="31"/>
      <c r="C20" s="31"/>
      <c r="D20" s="31"/>
      <c r="E20" s="31"/>
      <c r="F20" s="31"/>
      <c r="G20" s="32"/>
      <c r="H20" s="31"/>
      <c r="I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</row>
    <row r="24" ht="15.75" customHeight="1">
      <c r="C24" s="31"/>
      <c r="D24" s="31"/>
      <c r="E24" s="31"/>
      <c r="F24" s="31"/>
      <c r="G24" s="31"/>
      <c r="H24" s="31"/>
      <c r="I24" s="31"/>
    </row>
    <row r="25" ht="15.75" customHeight="1">
      <c r="C25" s="31"/>
      <c r="D25" s="31"/>
      <c r="E25" s="31"/>
      <c r="F25" s="31"/>
      <c r="G25" s="31"/>
      <c r="H25" s="31"/>
      <c r="I25" s="31"/>
    </row>
    <row r="26" ht="15.75" customHeight="1">
      <c r="C26" s="31"/>
      <c r="D26" s="31"/>
      <c r="E26" s="31"/>
      <c r="F26" s="31"/>
      <c r="G26" s="31"/>
      <c r="H26" s="31"/>
      <c r="I26" s="31"/>
    </row>
    <row r="27" ht="15.75" customHeight="1">
      <c r="C27" s="31"/>
      <c r="D27" s="31"/>
      <c r="E27" s="31"/>
      <c r="F27" s="31"/>
      <c r="G27" s="31"/>
      <c r="H27" s="31"/>
      <c r="I27" s="31"/>
    </row>
    <row r="28" ht="15.75" customHeight="1">
      <c r="C28" s="31"/>
      <c r="D28" s="31"/>
      <c r="E28" s="31"/>
      <c r="F28" s="31"/>
      <c r="G28" s="31"/>
      <c r="H28" s="31"/>
      <c r="I28" s="3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3:A4"/>
    <mergeCell ref="B3:B4"/>
    <mergeCell ref="M3:M4"/>
    <mergeCell ref="C3:L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2" width="17.0"/>
    <col customWidth="1" min="3" max="12" width="3.57"/>
    <col customWidth="1" min="13" max="18" width="10.71"/>
  </cols>
  <sheetData>
    <row r="1">
      <c r="A1" s="1" t="s">
        <v>5</v>
      </c>
    </row>
    <row r="3">
      <c r="A3" s="2" t="s">
        <v>3</v>
      </c>
      <c r="B3" s="2" t="s">
        <v>4</v>
      </c>
      <c r="C3" s="3" t="s">
        <v>6</v>
      </c>
      <c r="D3" s="4"/>
      <c r="E3" s="4"/>
      <c r="F3" s="4"/>
      <c r="G3" s="4"/>
      <c r="H3" s="4"/>
      <c r="I3" s="4"/>
      <c r="J3" s="4"/>
      <c r="K3" s="4"/>
      <c r="L3" s="5"/>
      <c r="M3" s="2" t="s">
        <v>7</v>
      </c>
    </row>
    <row r="4">
      <c r="A4" s="6"/>
      <c r="B4" s="6"/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  <c r="M4" s="8"/>
    </row>
    <row r="5">
      <c r="A5" s="9" t="s">
        <v>11</v>
      </c>
      <c r="B5" s="10">
        <v>7.0</v>
      </c>
      <c r="C5" s="11">
        <v>3.0</v>
      </c>
      <c r="D5" s="12">
        <v>4.0</v>
      </c>
      <c r="E5" s="13"/>
      <c r="F5" s="13"/>
      <c r="G5" s="13"/>
      <c r="H5" s="13"/>
      <c r="I5" s="13"/>
      <c r="J5" s="13"/>
      <c r="K5" s="13"/>
      <c r="L5" s="13"/>
      <c r="M5" s="14">
        <f t="shared" ref="M5:M8" si="1">SUM(C5:L5)</f>
        <v>7</v>
      </c>
    </row>
    <row r="6">
      <c r="A6" s="15" t="s">
        <v>18</v>
      </c>
      <c r="B6" s="16">
        <v>7.0</v>
      </c>
      <c r="C6" s="17"/>
      <c r="D6" s="18"/>
      <c r="E6" s="18">
        <v>4.0</v>
      </c>
      <c r="F6" s="18">
        <v>3.0</v>
      </c>
      <c r="G6" s="18"/>
      <c r="H6" s="18"/>
      <c r="I6" s="19"/>
      <c r="J6" s="19"/>
      <c r="K6" s="19"/>
      <c r="L6" s="19"/>
      <c r="M6" s="20">
        <f t="shared" si="1"/>
        <v>7</v>
      </c>
    </row>
    <row r="7">
      <c r="A7" s="22" t="s">
        <v>20</v>
      </c>
      <c r="B7" s="23">
        <v>9.0</v>
      </c>
      <c r="C7" s="17"/>
      <c r="D7" s="19"/>
      <c r="E7" s="19"/>
      <c r="F7" s="19"/>
      <c r="G7" s="18">
        <v>4.0</v>
      </c>
      <c r="H7" s="18">
        <v>3.0</v>
      </c>
      <c r="I7" s="18">
        <v>2.0</v>
      </c>
      <c r="J7" s="18"/>
      <c r="K7" s="18"/>
      <c r="L7" s="18"/>
      <c r="M7" s="20">
        <f t="shared" si="1"/>
        <v>9</v>
      </c>
    </row>
    <row r="8">
      <c r="A8" s="15" t="s">
        <v>22</v>
      </c>
      <c r="B8" s="16">
        <v>11.0</v>
      </c>
      <c r="C8" s="17"/>
      <c r="D8" s="19"/>
      <c r="E8" s="19"/>
      <c r="F8" s="19"/>
      <c r="G8" s="19"/>
      <c r="H8" s="19"/>
      <c r="I8" s="19"/>
      <c r="J8" s="18">
        <v>5.0</v>
      </c>
      <c r="K8" s="18">
        <v>5.0</v>
      </c>
      <c r="L8" s="18">
        <v>1.0</v>
      </c>
      <c r="M8" s="27">
        <f t="shared" si="1"/>
        <v>11</v>
      </c>
    </row>
    <row r="10">
      <c r="A10" s="28" t="s">
        <v>21</v>
      </c>
      <c r="B10" s="30">
        <f>SUM(B5:B8)</f>
        <v>34</v>
      </c>
      <c r="C10" s="29">
        <f t="shared" ref="C10:L10" si="2">B10-SUM(C5:C8)</f>
        <v>31</v>
      </c>
      <c r="D10" s="29">
        <f t="shared" si="2"/>
        <v>27</v>
      </c>
      <c r="E10" s="29">
        <f t="shared" si="2"/>
        <v>23</v>
      </c>
      <c r="F10" s="29">
        <f t="shared" si="2"/>
        <v>20</v>
      </c>
      <c r="G10" s="29">
        <f t="shared" si="2"/>
        <v>16</v>
      </c>
      <c r="H10" s="29">
        <f t="shared" si="2"/>
        <v>13</v>
      </c>
      <c r="I10" s="29">
        <f t="shared" si="2"/>
        <v>11</v>
      </c>
      <c r="J10" s="29">
        <f t="shared" si="2"/>
        <v>6</v>
      </c>
      <c r="K10" s="29">
        <f t="shared" si="2"/>
        <v>1</v>
      </c>
      <c r="L10" s="29">
        <f t="shared" si="2"/>
        <v>0</v>
      </c>
      <c r="M10" s="30">
        <f>SUM(M5:M8)</f>
        <v>34</v>
      </c>
    </row>
    <row r="12">
      <c r="A12" s="28" t="s">
        <v>25</v>
      </c>
      <c r="B12" s="30">
        <f>SUM(B5:B8)</f>
        <v>34</v>
      </c>
      <c r="C12" s="30">
        <f t="shared" ref="C12:L12" si="3">B12-(SUM($B$5:$B$8)/10)</f>
        <v>30.6</v>
      </c>
      <c r="D12" s="30">
        <f t="shared" si="3"/>
        <v>27.2</v>
      </c>
      <c r="E12" s="30">
        <f t="shared" si="3"/>
        <v>23.8</v>
      </c>
      <c r="F12" s="30">
        <f t="shared" si="3"/>
        <v>20.4</v>
      </c>
      <c r="G12" s="30">
        <f t="shared" si="3"/>
        <v>17</v>
      </c>
      <c r="H12" s="30">
        <f t="shared" si="3"/>
        <v>13.6</v>
      </c>
      <c r="I12" s="30">
        <f t="shared" si="3"/>
        <v>10.2</v>
      </c>
      <c r="J12" s="30">
        <f t="shared" si="3"/>
        <v>6.8</v>
      </c>
      <c r="K12" s="30">
        <f t="shared" si="3"/>
        <v>3.4</v>
      </c>
      <c r="L12" s="30">
        <f t="shared" si="3"/>
        <v>0</v>
      </c>
    </row>
    <row r="14">
      <c r="A14" s="31"/>
      <c r="B14" s="32"/>
      <c r="C14" s="31"/>
      <c r="D14" s="31"/>
      <c r="E14" s="31"/>
      <c r="F14" s="31"/>
      <c r="G14" s="31"/>
      <c r="H14" s="31"/>
      <c r="I14" s="31"/>
    </row>
    <row r="15">
      <c r="A15" s="31"/>
      <c r="B15" s="32"/>
      <c r="C15" s="31"/>
      <c r="D15" s="31"/>
      <c r="E15" s="31"/>
      <c r="F15" s="31"/>
      <c r="G15" s="32"/>
      <c r="H15" s="31"/>
      <c r="I15" s="31"/>
    </row>
    <row r="16">
      <c r="A16" s="31"/>
      <c r="B16" s="32"/>
      <c r="C16" s="31"/>
      <c r="D16" s="31"/>
      <c r="E16" s="31"/>
      <c r="F16" s="31"/>
      <c r="G16" s="32"/>
      <c r="H16" s="31"/>
      <c r="I16" s="31"/>
    </row>
    <row r="17">
      <c r="A17" s="31"/>
      <c r="B17" s="32"/>
      <c r="C17" s="31"/>
      <c r="D17" s="31"/>
      <c r="E17" s="31"/>
      <c r="F17" s="31"/>
      <c r="G17" s="32"/>
      <c r="H17" s="31"/>
      <c r="I17" s="31"/>
    </row>
    <row r="18">
      <c r="A18" s="31"/>
      <c r="B18" s="32"/>
    </row>
    <row r="19" ht="15.75" customHeight="1">
      <c r="A19" s="31"/>
      <c r="B19" s="32"/>
    </row>
    <row r="20" ht="15.75" customHeight="1">
      <c r="A20" s="31"/>
      <c r="B20" s="32"/>
    </row>
    <row r="21" ht="15.75" customHeight="1">
      <c r="A21" s="31"/>
      <c r="B21" s="32"/>
    </row>
    <row r="22" ht="15.75" customHeight="1">
      <c r="A22" s="31"/>
      <c r="B22" s="32"/>
      <c r="C22" s="31"/>
      <c r="D22" s="31"/>
      <c r="E22" s="31"/>
      <c r="F22" s="31"/>
      <c r="G22" s="31"/>
      <c r="H22" s="31"/>
      <c r="I22" s="31"/>
    </row>
    <row r="23" ht="15.75" customHeight="1">
      <c r="A23" s="31"/>
      <c r="B23" s="32"/>
      <c r="C23" s="31"/>
      <c r="D23" s="31"/>
      <c r="E23" s="31"/>
      <c r="F23" s="31"/>
      <c r="G23" s="31"/>
      <c r="H23" s="31"/>
      <c r="I23" s="3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3:A4"/>
    <mergeCell ref="B3:B4"/>
    <mergeCell ref="M3:M4"/>
    <mergeCell ref="C3:L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2" width="17.0"/>
    <col customWidth="1" min="3" max="12" width="3.57"/>
    <col customWidth="1" min="13" max="19" width="10.71"/>
  </cols>
  <sheetData>
    <row r="1">
      <c r="A1" s="1" t="s">
        <v>0</v>
      </c>
    </row>
    <row r="3">
      <c r="A3" s="2" t="s">
        <v>3</v>
      </c>
      <c r="B3" s="2" t="s">
        <v>4</v>
      </c>
      <c r="C3" s="3" t="s">
        <v>6</v>
      </c>
      <c r="D3" s="4"/>
      <c r="E3" s="4"/>
      <c r="F3" s="4"/>
      <c r="G3" s="4"/>
      <c r="H3" s="4"/>
      <c r="I3" s="4"/>
      <c r="J3" s="4"/>
      <c r="K3" s="4"/>
      <c r="L3" s="5"/>
      <c r="M3" s="2" t="s">
        <v>7</v>
      </c>
    </row>
    <row r="4">
      <c r="A4" s="6"/>
      <c r="B4" s="6"/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  <c r="M4" s="8"/>
    </row>
    <row r="5">
      <c r="A5" s="9" t="s">
        <v>9</v>
      </c>
      <c r="B5" s="10">
        <v>7.0</v>
      </c>
      <c r="C5" s="11">
        <v>3.0</v>
      </c>
      <c r="D5" s="12">
        <v>4.0</v>
      </c>
      <c r="E5" s="12"/>
      <c r="F5" s="13"/>
      <c r="G5" s="13"/>
      <c r="H5" s="13"/>
      <c r="I5" s="13"/>
      <c r="J5" s="13"/>
      <c r="K5" s="13"/>
      <c r="L5" s="13"/>
      <c r="M5" s="14">
        <f t="shared" ref="M5:M7" si="1">SUM(C5:L5)</f>
        <v>7</v>
      </c>
    </row>
    <row r="6">
      <c r="A6" s="15" t="s">
        <v>14</v>
      </c>
      <c r="B6" s="16">
        <v>10.0</v>
      </c>
      <c r="C6" s="17"/>
      <c r="D6" s="18"/>
      <c r="E6" s="18">
        <v>3.0</v>
      </c>
      <c r="F6" s="18">
        <v>3.0</v>
      </c>
      <c r="G6" s="18">
        <v>4.0</v>
      </c>
      <c r="H6" s="18"/>
      <c r="I6" s="18"/>
      <c r="J6" s="19"/>
      <c r="K6" s="19"/>
      <c r="L6" s="19"/>
      <c r="M6" s="20">
        <f t="shared" si="1"/>
        <v>10</v>
      </c>
    </row>
    <row r="7">
      <c r="A7" s="21" t="s">
        <v>15</v>
      </c>
      <c r="B7" s="23">
        <v>15.0</v>
      </c>
      <c r="C7" s="24"/>
      <c r="D7" s="25"/>
      <c r="E7" s="25"/>
      <c r="F7" s="25"/>
      <c r="G7" s="26"/>
      <c r="H7" s="26">
        <v>3.0</v>
      </c>
      <c r="I7" s="26">
        <v>3.0</v>
      </c>
      <c r="J7" s="26">
        <v>3.0</v>
      </c>
      <c r="K7" s="26">
        <v>3.0</v>
      </c>
      <c r="L7" s="26">
        <v>3.0</v>
      </c>
      <c r="M7" s="27">
        <f t="shared" si="1"/>
        <v>15</v>
      </c>
    </row>
    <row r="9">
      <c r="A9" s="28" t="s">
        <v>21</v>
      </c>
      <c r="B9" s="30">
        <f>SUM(B5:B7)</f>
        <v>32</v>
      </c>
      <c r="C9" s="29">
        <f t="shared" ref="C9:L9" si="2">B9-SUM(C5:C7)</f>
        <v>29</v>
      </c>
      <c r="D9" s="29">
        <f t="shared" si="2"/>
        <v>25</v>
      </c>
      <c r="E9" s="29">
        <f t="shared" si="2"/>
        <v>22</v>
      </c>
      <c r="F9" s="29">
        <f t="shared" si="2"/>
        <v>19</v>
      </c>
      <c r="G9" s="29">
        <f t="shared" si="2"/>
        <v>15</v>
      </c>
      <c r="H9" s="29">
        <f t="shared" si="2"/>
        <v>12</v>
      </c>
      <c r="I9" s="29">
        <f t="shared" si="2"/>
        <v>9</v>
      </c>
      <c r="J9" s="29">
        <f t="shared" si="2"/>
        <v>6</v>
      </c>
      <c r="K9" s="29">
        <f t="shared" si="2"/>
        <v>3</v>
      </c>
      <c r="L9" s="29">
        <f t="shared" si="2"/>
        <v>0</v>
      </c>
      <c r="M9" s="30">
        <f>SUM(M5:M7)</f>
        <v>32</v>
      </c>
    </row>
    <row r="11">
      <c r="A11" s="28" t="s">
        <v>25</v>
      </c>
      <c r="B11" s="30">
        <f>SUM(B5:B7)</f>
        <v>32</v>
      </c>
      <c r="C11" s="30">
        <f t="shared" ref="C11:L11" si="3">B11-(SUM($B$5:$B$7)/10)</f>
        <v>28.8</v>
      </c>
      <c r="D11" s="30">
        <f t="shared" si="3"/>
        <v>25.6</v>
      </c>
      <c r="E11" s="30">
        <f t="shared" si="3"/>
        <v>22.4</v>
      </c>
      <c r="F11" s="30">
        <f t="shared" si="3"/>
        <v>19.2</v>
      </c>
      <c r="G11" s="30">
        <f t="shared" si="3"/>
        <v>16</v>
      </c>
      <c r="H11" s="30">
        <f t="shared" si="3"/>
        <v>12.8</v>
      </c>
      <c r="I11" s="30">
        <f t="shared" si="3"/>
        <v>9.6</v>
      </c>
      <c r="J11" s="30">
        <f t="shared" si="3"/>
        <v>6.4</v>
      </c>
      <c r="K11" s="30">
        <f t="shared" si="3"/>
        <v>3.2</v>
      </c>
      <c r="L11" s="30">
        <f t="shared" si="3"/>
        <v>0</v>
      </c>
    </row>
    <row r="13">
      <c r="A13" s="31"/>
      <c r="B13" s="32"/>
      <c r="C13" s="31"/>
      <c r="D13" s="31"/>
      <c r="E13" s="31"/>
      <c r="F13" s="31"/>
      <c r="G13" s="31"/>
      <c r="H13" s="31"/>
      <c r="I13" s="31"/>
    </row>
    <row r="14">
      <c r="A14" s="31"/>
      <c r="B14" s="32"/>
      <c r="C14" s="31"/>
      <c r="D14" s="31"/>
      <c r="E14" s="31"/>
      <c r="F14" s="31"/>
      <c r="G14" s="32"/>
      <c r="H14" s="31"/>
      <c r="I14" s="31"/>
    </row>
    <row r="15">
      <c r="A15" s="31"/>
      <c r="B15" s="32"/>
      <c r="C15" s="31"/>
      <c r="D15" s="31"/>
      <c r="E15" s="31"/>
      <c r="F15" s="31"/>
      <c r="G15" s="32"/>
      <c r="H15" s="31"/>
      <c r="I15" s="31"/>
    </row>
    <row r="16">
      <c r="A16" s="31"/>
      <c r="B16" s="32"/>
      <c r="C16" s="31"/>
      <c r="D16" s="31"/>
      <c r="E16" s="31"/>
      <c r="F16" s="31"/>
      <c r="G16" s="32"/>
      <c r="H16" s="31"/>
      <c r="I16" s="31"/>
    </row>
    <row r="17">
      <c r="A17" s="31"/>
      <c r="B17" s="32"/>
      <c r="C17" s="31"/>
      <c r="D17" s="31"/>
      <c r="E17" s="31"/>
      <c r="F17" s="31"/>
      <c r="G17" s="32"/>
      <c r="H17" s="31"/>
      <c r="I17" s="31"/>
    </row>
    <row r="18" ht="15.75" customHeight="1">
      <c r="A18" s="31"/>
      <c r="B18" s="32"/>
      <c r="C18" s="31"/>
      <c r="D18" s="31"/>
      <c r="E18" s="31"/>
      <c r="F18" s="31"/>
      <c r="G18" s="32"/>
      <c r="H18" s="31"/>
      <c r="I18" s="31"/>
    </row>
    <row r="19" ht="15.75" customHeight="1">
      <c r="A19" s="31"/>
      <c r="B19" s="32"/>
    </row>
    <row r="20" ht="15.75" customHeight="1">
      <c r="A20" s="31"/>
      <c r="B20" s="32"/>
    </row>
    <row r="21" ht="15.75" customHeight="1">
      <c r="A21" s="31"/>
      <c r="B21" s="32"/>
    </row>
    <row r="22" ht="15.75" customHeight="1">
      <c r="A22" s="31"/>
      <c r="B22" s="32"/>
      <c r="C22" s="31"/>
      <c r="D22" s="31"/>
      <c r="E22" s="31"/>
      <c r="F22" s="31"/>
      <c r="G22" s="31"/>
      <c r="H22" s="31"/>
      <c r="I22" s="3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">
    <mergeCell ref="A3:A4"/>
    <mergeCell ref="C3:L3"/>
    <mergeCell ref="M3:M4"/>
    <mergeCell ref="B3:B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2" width="17.0"/>
    <col customWidth="1" min="3" max="12" width="3.57"/>
    <col customWidth="1" min="13" max="19" width="10.71"/>
  </cols>
  <sheetData>
    <row r="1">
      <c r="A1" s="1" t="s">
        <v>27</v>
      </c>
    </row>
    <row r="3">
      <c r="A3" s="2" t="s">
        <v>3</v>
      </c>
      <c r="B3" s="2" t="s">
        <v>4</v>
      </c>
      <c r="C3" s="3" t="s">
        <v>6</v>
      </c>
      <c r="D3" s="4"/>
      <c r="E3" s="4"/>
      <c r="F3" s="4"/>
      <c r="G3" s="4"/>
      <c r="H3" s="4"/>
      <c r="I3" s="4"/>
      <c r="J3" s="4"/>
      <c r="K3" s="4"/>
      <c r="L3" s="5"/>
      <c r="M3" s="2" t="s">
        <v>7</v>
      </c>
    </row>
    <row r="4">
      <c r="A4" s="6"/>
      <c r="B4" s="6"/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  <c r="M4" s="8"/>
    </row>
    <row r="5">
      <c r="A5" s="9" t="s">
        <v>28</v>
      </c>
      <c r="B5" s="10">
        <v>6.0</v>
      </c>
      <c r="C5" s="11"/>
      <c r="D5" s="12"/>
      <c r="E5" s="13"/>
      <c r="F5" s="13"/>
      <c r="G5" s="13"/>
      <c r="H5" s="13"/>
      <c r="I5" s="13"/>
      <c r="J5" s="13"/>
      <c r="K5" s="13"/>
      <c r="L5" s="13"/>
      <c r="M5" s="14">
        <f t="shared" ref="M5:M9" si="1">SUM(C5:L5)</f>
        <v>0</v>
      </c>
    </row>
    <row r="6">
      <c r="A6" s="15" t="s">
        <v>29</v>
      </c>
      <c r="B6" s="16">
        <v>10.0</v>
      </c>
      <c r="C6" s="17"/>
      <c r="D6" s="18"/>
      <c r="E6" s="18"/>
      <c r="F6" s="18"/>
      <c r="G6" s="18"/>
      <c r="H6" s="18"/>
      <c r="I6" s="19"/>
      <c r="J6" s="19"/>
      <c r="K6" s="19"/>
      <c r="L6" s="19"/>
      <c r="M6" s="20">
        <f t="shared" si="1"/>
        <v>0</v>
      </c>
    </row>
    <row r="7">
      <c r="A7" s="22" t="s">
        <v>30</v>
      </c>
      <c r="B7" s="23">
        <v>7.0</v>
      </c>
      <c r="C7" s="17"/>
      <c r="D7" s="19"/>
      <c r="E7" s="19"/>
      <c r="F7" s="19"/>
      <c r="G7" s="18"/>
      <c r="H7" s="18"/>
      <c r="I7" s="18"/>
      <c r="J7" s="18"/>
      <c r="K7" s="19"/>
      <c r="L7" s="19"/>
      <c r="M7" s="20">
        <f t="shared" si="1"/>
        <v>0</v>
      </c>
    </row>
    <row r="8">
      <c r="A8" s="15" t="s">
        <v>31</v>
      </c>
      <c r="B8" s="16">
        <v>9.0</v>
      </c>
      <c r="C8" s="17"/>
      <c r="D8" s="19"/>
      <c r="E8" s="19"/>
      <c r="F8" s="19"/>
      <c r="G8" s="19"/>
      <c r="H8" s="19"/>
      <c r="I8" s="18"/>
      <c r="J8" s="18"/>
      <c r="K8" s="18"/>
      <c r="L8" s="18"/>
      <c r="M8" s="20">
        <f t="shared" si="1"/>
        <v>0</v>
      </c>
    </row>
    <row r="9">
      <c r="A9" s="15" t="s">
        <v>32</v>
      </c>
      <c r="B9" s="16">
        <v>8.0</v>
      </c>
      <c r="C9" s="24"/>
      <c r="D9" s="25"/>
      <c r="E9" s="25"/>
      <c r="F9" s="25"/>
      <c r="G9" s="25"/>
      <c r="H9" s="25"/>
      <c r="I9" s="25"/>
      <c r="J9" s="25"/>
      <c r="K9" s="26"/>
      <c r="L9" s="26"/>
      <c r="M9" s="27">
        <f t="shared" si="1"/>
        <v>0</v>
      </c>
    </row>
    <row r="11">
      <c r="A11" s="28" t="s">
        <v>21</v>
      </c>
      <c r="B11" s="30">
        <f>SUM(B5:B9)</f>
        <v>40</v>
      </c>
      <c r="C11" s="29">
        <f t="shared" ref="C11:L11" si="2">B11-SUM(C5:C9)</f>
        <v>40</v>
      </c>
      <c r="D11" s="29">
        <f t="shared" si="2"/>
        <v>40</v>
      </c>
      <c r="E11" s="29">
        <f t="shared" si="2"/>
        <v>40</v>
      </c>
      <c r="F11" s="29">
        <f t="shared" si="2"/>
        <v>40</v>
      </c>
      <c r="G11" s="29">
        <f t="shared" si="2"/>
        <v>40</v>
      </c>
      <c r="H11" s="29">
        <f t="shared" si="2"/>
        <v>40</v>
      </c>
      <c r="I11" s="29">
        <f t="shared" si="2"/>
        <v>40</v>
      </c>
      <c r="J11" s="29">
        <f t="shared" si="2"/>
        <v>40</v>
      </c>
      <c r="K11" s="29">
        <f t="shared" si="2"/>
        <v>40</v>
      </c>
      <c r="L11" s="29">
        <f t="shared" si="2"/>
        <v>40</v>
      </c>
      <c r="M11" s="30">
        <f>SUM(M5:M9)</f>
        <v>0</v>
      </c>
    </row>
    <row r="13">
      <c r="A13" s="28" t="s">
        <v>25</v>
      </c>
      <c r="B13" s="30">
        <f>SUM(B5:B9)</f>
        <v>40</v>
      </c>
      <c r="C13" s="30">
        <f t="shared" ref="C13:L13" si="3">B13-(SUM($B$5:$B$9)/10)</f>
        <v>36</v>
      </c>
      <c r="D13" s="30">
        <f t="shared" si="3"/>
        <v>32</v>
      </c>
      <c r="E13" s="30">
        <f t="shared" si="3"/>
        <v>28</v>
      </c>
      <c r="F13" s="30">
        <f t="shared" si="3"/>
        <v>24</v>
      </c>
      <c r="G13" s="30">
        <f t="shared" si="3"/>
        <v>20</v>
      </c>
      <c r="H13" s="30">
        <f t="shared" si="3"/>
        <v>16</v>
      </c>
      <c r="I13" s="30">
        <f t="shared" si="3"/>
        <v>12</v>
      </c>
      <c r="J13" s="30">
        <f t="shared" si="3"/>
        <v>8</v>
      </c>
      <c r="K13" s="30">
        <f t="shared" si="3"/>
        <v>4</v>
      </c>
      <c r="L13" s="30">
        <f t="shared" si="3"/>
        <v>0</v>
      </c>
    </row>
    <row r="15">
      <c r="A15" s="31"/>
      <c r="B15" s="32"/>
      <c r="C15" s="31"/>
      <c r="D15" s="31"/>
      <c r="E15" s="31"/>
      <c r="F15" s="31"/>
      <c r="G15" s="31"/>
      <c r="H15" s="31"/>
      <c r="I15" s="31"/>
    </row>
    <row r="16">
      <c r="A16" s="31"/>
      <c r="B16" s="32"/>
    </row>
    <row r="17">
      <c r="A17" s="31"/>
      <c r="B17" s="32"/>
    </row>
    <row r="18">
      <c r="A18" s="31"/>
      <c r="B18" s="31"/>
    </row>
    <row r="19">
      <c r="A19" s="31"/>
      <c r="B19" s="31"/>
    </row>
    <row r="20" ht="15.75" customHeight="1">
      <c r="A20" s="31"/>
      <c r="B20" s="31"/>
    </row>
    <row r="21" ht="15.75" customHeight="1">
      <c r="A21" s="31"/>
      <c r="B21" s="31"/>
      <c r="C21" s="31"/>
      <c r="D21" s="31"/>
      <c r="E21" s="31"/>
      <c r="F21" s="31"/>
      <c r="G21" s="32"/>
      <c r="H21" s="31"/>
      <c r="I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3:A4"/>
    <mergeCell ref="B3:B4"/>
    <mergeCell ref="M3:M4"/>
    <mergeCell ref="C3:L3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2" width="17.0"/>
    <col customWidth="1" min="3" max="12" width="3.57"/>
    <col customWidth="1" min="13" max="19" width="10.71"/>
  </cols>
  <sheetData>
    <row r="1">
      <c r="A1" s="1" t="s">
        <v>26</v>
      </c>
    </row>
    <row r="3">
      <c r="A3" s="2" t="s">
        <v>3</v>
      </c>
      <c r="B3" s="2" t="s">
        <v>4</v>
      </c>
      <c r="C3" s="3" t="s">
        <v>6</v>
      </c>
      <c r="D3" s="4"/>
      <c r="E3" s="4"/>
      <c r="F3" s="4"/>
      <c r="G3" s="4"/>
      <c r="H3" s="4"/>
      <c r="I3" s="4"/>
      <c r="J3" s="4"/>
      <c r="K3" s="4"/>
      <c r="L3" s="5"/>
      <c r="M3" s="2" t="s">
        <v>7</v>
      </c>
    </row>
    <row r="4">
      <c r="A4" s="6"/>
      <c r="B4" s="6"/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  <c r="M4" s="8"/>
    </row>
    <row r="5">
      <c r="A5" s="9" t="s">
        <v>10</v>
      </c>
      <c r="B5" s="10">
        <v>14.0</v>
      </c>
      <c r="C5" s="11"/>
      <c r="D5" s="12"/>
      <c r="E5" s="12"/>
      <c r="F5" s="13"/>
      <c r="G5" s="13"/>
      <c r="H5" s="13"/>
      <c r="I5" s="13"/>
      <c r="J5" s="13"/>
      <c r="K5" s="13"/>
      <c r="L5" s="13"/>
      <c r="M5" s="14">
        <f t="shared" ref="M5:M9" si="1">SUM(C5:L5)</f>
        <v>0</v>
      </c>
    </row>
    <row r="6">
      <c r="A6" s="15" t="s">
        <v>12</v>
      </c>
      <c r="B6" s="16">
        <v>8.0</v>
      </c>
      <c r="C6" s="17"/>
      <c r="D6" s="18"/>
      <c r="E6" s="18"/>
      <c r="F6" s="18"/>
      <c r="G6" s="18"/>
      <c r="H6" s="18"/>
      <c r="I6" s="18"/>
      <c r="J6" s="19"/>
      <c r="K6" s="19"/>
      <c r="L6" s="19"/>
      <c r="M6" s="20">
        <f t="shared" si="1"/>
        <v>0</v>
      </c>
    </row>
    <row r="7">
      <c r="A7" s="22" t="s">
        <v>16</v>
      </c>
      <c r="B7" s="23">
        <v>6.0</v>
      </c>
      <c r="C7" s="17"/>
      <c r="D7" s="19"/>
      <c r="E7" s="19"/>
      <c r="F7" s="19"/>
      <c r="G7" s="19"/>
      <c r="H7" s="18"/>
      <c r="I7" s="18"/>
      <c r="J7" s="18"/>
      <c r="K7" s="19"/>
      <c r="L7" s="19"/>
      <c r="M7" s="20">
        <f t="shared" si="1"/>
        <v>0</v>
      </c>
    </row>
    <row r="8">
      <c r="A8" s="15" t="s">
        <v>23</v>
      </c>
      <c r="B8" s="16">
        <v>4.0</v>
      </c>
      <c r="C8" s="17"/>
      <c r="D8" s="19"/>
      <c r="E8" s="19"/>
      <c r="F8" s="19"/>
      <c r="G8" s="19"/>
      <c r="H8" s="19"/>
      <c r="I8" s="19"/>
      <c r="J8" s="18"/>
      <c r="K8" s="18"/>
      <c r="L8" s="18"/>
      <c r="M8" s="20">
        <f t="shared" si="1"/>
        <v>0</v>
      </c>
    </row>
    <row r="9">
      <c r="A9" s="15" t="s">
        <v>24</v>
      </c>
      <c r="B9" s="16">
        <v>8.0</v>
      </c>
      <c r="C9" s="24"/>
      <c r="D9" s="25"/>
      <c r="E9" s="25"/>
      <c r="F9" s="25"/>
      <c r="G9" s="25"/>
      <c r="H9" s="25"/>
      <c r="I9" s="25"/>
      <c r="J9" s="26"/>
      <c r="K9" s="26"/>
      <c r="L9" s="26"/>
      <c r="M9" s="27">
        <f t="shared" si="1"/>
        <v>0</v>
      </c>
    </row>
    <row r="11">
      <c r="A11" s="28" t="s">
        <v>21</v>
      </c>
      <c r="B11" s="30">
        <f>SUM(B5:B9)</f>
        <v>40</v>
      </c>
      <c r="C11" s="29">
        <f t="shared" ref="C11:L11" si="2">B11-SUM(C5:C9)</f>
        <v>40</v>
      </c>
      <c r="D11" s="29">
        <f t="shared" si="2"/>
        <v>40</v>
      </c>
      <c r="E11" s="29">
        <f t="shared" si="2"/>
        <v>40</v>
      </c>
      <c r="F11" s="29">
        <f t="shared" si="2"/>
        <v>40</v>
      </c>
      <c r="G11" s="29">
        <f t="shared" si="2"/>
        <v>40</v>
      </c>
      <c r="H11" s="29">
        <f t="shared" si="2"/>
        <v>40</v>
      </c>
      <c r="I11" s="29">
        <f t="shared" si="2"/>
        <v>40</v>
      </c>
      <c r="J11" s="29">
        <f t="shared" si="2"/>
        <v>40</v>
      </c>
      <c r="K11" s="29">
        <f t="shared" si="2"/>
        <v>40</v>
      </c>
      <c r="L11" s="29">
        <f t="shared" si="2"/>
        <v>40</v>
      </c>
      <c r="M11" s="30">
        <f>SUM(M5:M9)</f>
        <v>0</v>
      </c>
    </row>
    <row r="13">
      <c r="A13" s="28" t="s">
        <v>25</v>
      </c>
      <c r="B13" s="30">
        <f>SUM(B5:B9)</f>
        <v>40</v>
      </c>
      <c r="C13" s="30">
        <f t="shared" ref="C13:L13" si="3">B13-(SUM($B$5:$B$9)/10)</f>
        <v>36</v>
      </c>
      <c r="D13" s="30">
        <f t="shared" si="3"/>
        <v>32</v>
      </c>
      <c r="E13" s="30">
        <f t="shared" si="3"/>
        <v>28</v>
      </c>
      <c r="F13" s="30">
        <f t="shared" si="3"/>
        <v>24</v>
      </c>
      <c r="G13" s="30">
        <f t="shared" si="3"/>
        <v>20</v>
      </c>
      <c r="H13" s="30">
        <f t="shared" si="3"/>
        <v>16</v>
      </c>
      <c r="I13" s="30">
        <f t="shared" si="3"/>
        <v>12</v>
      </c>
      <c r="J13" s="30">
        <f t="shared" si="3"/>
        <v>8</v>
      </c>
      <c r="K13" s="30">
        <f t="shared" si="3"/>
        <v>4</v>
      </c>
      <c r="L13" s="30">
        <f t="shared" si="3"/>
        <v>0</v>
      </c>
    </row>
    <row r="15">
      <c r="A15" s="31"/>
      <c r="B15" s="32"/>
      <c r="C15" s="31"/>
      <c r="D15" s="31"/>
      <c r="E15" s="31"/>
      <c r="F15" s="31"/>
      <c r="G15" s="31"/>
      <c r="H15" s="31"/>
      <c r="I15" s="31"/>
    </row>
    <row r="16">
      <c r="A16" s="31"/>
      <c r="B16" s="32"/>
      <c r="C16" s="31"/>
      <c r="D16" s="31"/>
      <c r="E16" s="31"/>
      <c r="F16" s="31"/>
      <c r="G16" s="32"/>
      <c r="H16" s="31"/>
      <c r="I16" s="31"/>
    </row>
    <row r="17">
      <c r="A17" s="31"/>
      <c r="B17" s="32"/>
      <c r="C17" s="31"/>
      <c r="D17" s="31"/>
      <c r="E17" s="31"/>
      <c r="F17" s="31"/>
      <c r="G17" s="32"/>
      <c r="H17" s="31"/>
      <c r="I17" s="31"/>
    </row>
    <row r="18">
      <c r="A18" s="31"/>
      <c r="B18" s="32"/>
      <c r="C18" s="31"/>
      <c r="D18" s="31"/>
      <c r="E18" s="31"/>
      <c r="F18" s="31"/>
      <c r="G18" s="32"/>
      <c r="H18" s="31"/>
      <c r="I18" s="31"/>
    </row>
    <row r="19">
      <c r="A19" s="31"/>
      <c r="B19" s="32"/>
      <c r="C19" s="31"/>
      <c r="D19" s="31"/>
      <c r="E19" s="31"/>
      <c r="F19" s="31"/>
      <c r="G19" s="32"/>
      <c r="H19" s="31"/>
      <c r="I19" s="31"/>
    </row>
    <row r="20" ht="15.75" customHeight="1">
      <c r="A20" s="31"/>
      <c r="B20" s="31"/>
      <c r="C20" s="31"/>
      <c r="D20" s="31"/>
      <c r="E20" s="31"/>
      <c r="F20" s="31"/>
      <c r="G20" s="32"/>
      <c r="H20" s="31"/>
      <c r="I20" s="31"/>
    </row>
    <row r="21" ht="15.75" customHeight="1">
      <c r="A21" s="31"/>
      <c r="B21" s="31"/>
      <c r="C21" s="31"/>
      <c r="D21" s="31"/>
      <c r="E21" s="31"/>
      <c r="F21" s="31"/>
      <c r="G21" s="32"/>
      <c r="H21" s="31"/>
      <c r="I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3:A4"/>
    <mergeCell ref="B3:B4"/>
    <mergeCell ref="M3:M4"/>
    <mergeCell ref="C3:L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