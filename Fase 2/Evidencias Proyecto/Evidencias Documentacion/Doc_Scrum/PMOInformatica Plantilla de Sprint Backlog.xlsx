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_1" sheetId="1" r:id="rId4"/>
    <sheet state="visible" name="Sprint Backlog_2" sheetId="2" r:id="rId5"/>
    <sheet state="visible" name="Sprint Backlog_3" sheetId="3" r:id="rId6"/>
    <sheet state="visible" name="Sprint Backlog_4" sheetId="4" r:id="rId7"/>
    <sheet state="visible" name="Sprint Backlog_5" sheetId="5" r:id="rId8"/>
    <sheet state="visible" name="Sprint Backlog_6" sheetId="6" r:id="rId9"/>
    <sheet state="visible" name="Instructivo" sheetId="7" r:id="rId10"/>
  </sheets>
  <definedNames/>
  <calcPr/>
  <extLst>
    <ext uri="GoogleSheetsCustomDataVersion2">
      <go:sheetsCustomData xmlns:go="http://customooxmlschemas.google.com/" r:id="rId11" roundtripDataChecksum="UhjY/Kk9e0aceQRy2AUwsRkbVA6srVIEAwr2xEY8cwk="/>
    </ext>
  </extLst>
</workbook>
</file>

<file path=xl/sharedStrings.xml><?xml version="1.0" encoding="utf-8"?>
<sst xmlns="http://schemas.openxmlformats.org/spreadsheetml/2006/main" count="560" uniqueCount="172">
  <si>
    <t>Metodologías ágiles: Lista de tareas de la iteración</t>
  </si>
  <si>
    <t>(Sprint Backlog)</t>
  </si>
  <si>
    <t>Elaborado por: pmoinformatica.com</t>
  </si>
  <si>
    <t>Día 1</t>
  </si>
  <si>
    <t>Día 2</t>
  </si>
  <si>
    <t>Día 3</t>
  </si>
  <si>
    <t>Día 4</t>
  </si>
  <si>
    <t>Día 5</t>
  </si>
  <si>
    <t>Día 6</t>
  </si>
  <si>
    <t>Día 7</t>
  </si>
  <si>
    <t>Día 8</t>
  </si>
  <si>
    <t>Día 9</t>
  </si>
  <si>
    <t>Día 10</t>
  </si>
  <si>
    <t>Total</t>
  </si>
  <si>
    <t>Identificador (ID) de item de product backlog</t>
  </si>
  <si>
    <t>Enunciado del item de Product Backlog</t>
  </si>
  <si>
    <t>Tarea</t>
  </si>
  <si>
    <t>Dueño / Voluntario</t>
  </si>
  <si>
    <t>Estatus</t>
  </si>
  <si>
    <t>Horas estimadas totales</t>
  </si>
  <si>
    <t>Cons.</t>
  </si>
  <si>
    <t>Rest.</t>
  </si>
  <si>
    <t>HU-01</t>
  </si>
  <si>
    <t>Como usuario final, necesito visualizar los vehículos disponibles, con la finalidad de conocer cuáles se encuentran prestando servicio.</t>
  </si>
  <si>
    <t>Diseñar interfaz para visualizar vehículos disponibles</t>
  </si>
  <si>
    <t>Ignacio Cornejo</t>
  </si>
  <si>
    <t>Finalizada</t>
  </si>
  <si>
    <t>HU-14</t>
  </si>
  <si>
    <t>Como administrador, necesito consultar los horarios y recorridos, para supervisar la planificación y operación de los servicios de transporte.</t>
  </si>
  <si>
    <t>Diseñar interfaz de consulta de horarios y recorridos</t>
  </si>
  <si>
    <t>Por iniciar</t>
  </si>
  <si>
    <t>HU-10</t>
  </si>
  <si>
    <t>HU-06</t>
  </si>
  <si>
    <t>Como conductor, necesito consultar mis rutas asignadas, para conocer los recorridos que debo realizar durante mi jornada.</t>
  </si>
  <si>
    <t>Como usuario final, necesito consultar información de un recorrido, con la finalidad de conocer sus datos y características.</t>
  </si>
  <si>
    <t>Diseñar interfaz de consulta de rutas asignadas</t>
  </si>
  <si>
    <t>Diseñar interfaz de información del recorrido</t>
  </si>
  <si>
    <t>Implementar consulta de información del recorrido</t>
  </si>
  <si>
    <t>Implementar consulta de rutas asociadas al conductor</t>
  </si>
  <si>
    <t>Implementar consulta de horarios y recorridos registrados</t>
  </si>
  <si>
    <t>Implementar consulta de vehículos disponibles</t>
  </si>
  <si>
    <t>Integrar y probar información del recorrido</t>
  </si>
  <si>
    <t>Integrar y probar visualización de vehículos</t>
  </si>
  <si>
    <t>Integrar y probar visualización de rutas asignadas</t>
  </si>
  <si>
    <t>Integrar y probar visualización de horarios y recorridos</t>
  </si>
  <si>
    <t>HU-07</t>
  </si>
  <si>
    <t>HU-02</t>
  </si>
  <si>
    <t>Como usuario final, necesito consultar el tiempo promedio de viaje, con la finalidad de estimar la duración de un recorrido.</t>
  </si>
  <si>
    <t>Definir tratamiento de datos para el tiempo promedio</t>
  </si>
  <si>
    <t>Como usuario final, necesito consultar la ubicación de un vehículo, con la finalidad de conocer su posición durante el recorrido.</t>
  </si>
  <si>
    <t>HU-11</t>
  </si>
  <si>
    <t>HU-15</t>
  </si>
  <si>
    <t>Diseñar interfaz de selección y ubicación del vehículo</t>
  </si>
  <si>
    <t>Como conductor, necesito consultar mis recorridos asignados, para conocer los servicios que debo realizar.</t>
  </si>
  <si>
    <t>Como administrador, necesito visualizar indicadores operacionales, para analizar el funcionamiento de los servicios de transporte.</t>
  </si>
  <si>
    <t>Diseñar interfaz de recorridos asignados</t>
  </si>
  <si>
    <t>Definir indicadores y estructura de datos necesarios</t>
  </si>
  <si>
    <t>Implementar consulta y cálculo del tiempo promedio</t>
  </si>
  <si>
    <t>Implementar consulta de ubicación del vehículo</t>
  </si>
  <si>
    <t>Implementar consulta de recorridos asociados al conductor</t>
  </si>
  <si>
    <t>Integrar ubicación con la visualización en mapa y realizar pruebas</t>
  </si>
  <si>
    <t>Integrar visualización y validar disponibilidad de datos históricos</t>
  </si>
  <si>
    <t>Integrar y probar visualización de recorridos asignados</t>
  </si>
  <si>
    <t>Implementar consultas y cálculos de indicadores</t>
  </si>
  <si>
    <t>HU-03</t>
  </si>
  <si>
    <t>Como usuario final, necesito consultar las rutas disponibles, con la finalidad de conocer los recorridos ofrecidos por MicrosCulipran.</t>
  </si>
  <si>
    <t>HU-08</t>
  </si>
  <si>
    <t>Diseñar interfaz para consulta de rutas</t>
  </si>
  <si>
    <t>HU-12</t>
  </si>
  <si>
    <t>Como conductor o administrador, necesito iniciar sesión con mis credenciales, para acceder a las funcionalidades correspondientes a mi rol.</t>
  </si>
  <si>
    <t>Como administrador, necesito acceder al módulo administrativo, para utilizar las funcionalidades de gestión y supervisión del sistema.</t>
  </si>
  <si>
    <t>Diseñar interfaz de inicio de sesión</t>
  </si>
  <si>
    <t>Diseñar interfaz de acceso al módulo administrativo</t>
  </si>
  <si>
    <t>Integrar visualización y validar resultados de indicadores</t>
  </si>
  <si>
    <t>Implementar consulta de rutas disponibles</t>
  </si>
  <si>
    <t>Implementar autenticación y validación de credenciales</t>
  </si>
  <si>
    <t>Implementar acceso y navegación del módulo administrativo</t>
  </si>
  <si>
    <t>Integrar y probar visualización de rutas</t>
  </si>
  <si>
    <t>HU-16</t>
  </si>
  <si>
    <t>Como administrador, necesito visualizar un dashboard administrativo, para consultar de manera centralizada los indicadores y la información operacional del sistema.</t>
  </si>
  <si>
    <t>HU-04</t>
  </si>
  <si>
    <t>Diseñar estructura e interfaz del dashboard administrativo</t>
  </si>
  <si>
    <t>Implementar control de acceso por rol y realizar pruebas</t>
  </si>
  <si>
    <t>Como usuario final, necesito consultar los horarios, con la finalidad de conocer los horarios asociados a una ruta.</t>
  </si>
  <si>
    <t>Integrar control de permisos y realizar pruebas de acceso</t>
  </si>
  <si>
    <t>Diseñar interfaz para consulta de horarios</t>
  </si>
  <si>
    <t>HU-09</t>
  </si>
  <si>
    <t>Implementar componentes gráficos y visualización de información</t>
  </si>
  <si>
    <t>HU-13</t>
  </si>
  <si>
    <t>Como conductor, necesito consultar mis horarios asignados, para conocer los turnos y horarios que debo cumplir.</t>
  </si>
  <si>
    <t>Implementar consulta de horarios por ruta</t>
  </si>
  <si>
    <t>Como administrador, necesito consultar información operacional, para supervisar el funcionamiento de los servicios de transporte.</t>
  </si>
  <si>
    <t>Diseñar interfaz de horarios asignados</t>
  </si>
  <si>
    <t>Diseñar interfaz de consulta de información operacional</t>
  </si>
  <si>
    <t>Integrar y probar visualización de horarios</t>
  </si>
  <si>
    <t>Implementar consulta de horarios asociados al conductor</t>
  </si>
  <si>
    <t>Implementar consulta y procesamiento de información operacional</t>
  </si>
  <si>
    <t>Integrar indicadores, consultas y realizar pruebas del dashboard</t>
  </si>
  <si>
    <t>HU-05</t>
  </si>
  <si>
    <t>Como usuario final, necesito consultar las tarifas, con la finalidad de conocer el valor vigente del servicio.</t>
  </si>
  <si>
    <t>Integrar y probar visualización de horarios asignados</t>
  </si>
  <si>
    <t>Diseñar interfaz para consulta de tarifas</t>
  </si>
  <si>
    <t>Integrar visualización y realizar pruebas de información operacional</t>
  </si>
  <si>
    <t>Implementar consulta de tarifas vigentes</t>
  </si>
  <si>
    <t>34h</t>
  </si>
  <si>
    <t>32h</t>
  </si>
  <si>
    <t>Integrar y probar visualización de tarifas</t>
  </si>
  <si>
    <t>39 h</t>
  </si>
  <si>
    <t>SP-01</t>
  </si>
  <si>
    <t>Como equipo de desarrollo, necesitamos definir los casos de prueba para verificar el cumplimiento de los requerimientos del sistema.</t>
  </si>
  <si>
    <t>Elaborar plan de pruebas y definir criterios de aceptación</t>
  </si>
  <si>
    <t>Pablo Chacón/Ignacio Cornejo</t>
  </si>
  <si>
    <t>Diseñar casos de prueba funcionales y de integración</t>
  </si>
  <si>
    <t>Preparar datos y entorno de pruebas</t>
  </si>
  <si>
    <t>SP-02</t>
  </si>
  <si>
    <t>Como equipo de desarrollo, necesitamos verificar el módulo público para asegurar el funcionamiento de sus funcionalidades.</t>
  </si>
  <si>
    <t>Probar visualización y ubicación de vehículos</t>
  </si>
  <si>
    <t>Probar consultas de rutas, horarios y tarifas</t>
  </si>
  <si>
    <t>Probar información de recorridos y tiempos promedio</t>
  </si>
  <si>
    <t>SP-03</t>
  </si>
  <si>
    <t>Como equipo de desarrollo, necesitamos verificar el módulo de conductores para comprobar el acceso y la consulta de información asignada.</t>
  </si>
  <si>
    <t>Probar autenticación y acceso según rol</t>
  </si>
  <si>
    <t>Probar consulta de horarios y rutas asignadas</t>
  </si>
  <si>
    <t>Probar consulta de recorridos asignados</t>
  </si>
  <si>
    <t>SP-04</t>
  </si>
  <si>
    <t>Como equipo de desarrollo, necesitamos verificar el módulo administrativo para asegurar el funcionamiento de sus consultas e indicadores.</t>
  </si>
  <si>
    <t>Probar acceso al módulo administrativo</t>
  </si>
  <si>
    <t>Probar consultas de información operacional, horarios y recorridos</t>
  </si>
  <si>
    <t>Probar indicadores y dashboard administrativo</t>
  </si>
  <si>
    <t>SP-05</t>
  </si>
  <si>
    <t>Como equipo de desarrollo, necesitamos verificar la integración y seguridad básica del sistema para identificar errores antes de la validación final.</t>
  </si>
  <si>
    <t>Probar integración entre módulos y base de datos</t>
  </si>
  <si>
    <t>Verificar permisos de acceso y validación de entradas</t>
  </si>
  <si>
    <t>Registrar resultados, evidencias y defectos detectados</t>
  </si>
  <si>
    <t>40h</t>
  </si>
  <si>
    <t>SP-06</t>
  </si>
  <si>
    <t>Como equipo de desarrollo, necesitamos corregir los errores identificados durante las pruebas, para garantizar el funcionamiento adecuado del sistema.</t>
  </si>
  <si>
    <t>Analizar y clasificar los errores registrados durante el Sprint 5</t>
  </si>
  <si>
    <t>Corregir errores funcionales de los módulos públicos y de conductores</t>
  </si>
  <si>
    <t>Corregir errores del módulo administrativo y de integración</t>
  </si>
  <si>
    <t>SP-07</t>
  </si>
  <si>
    <t>Como equipo de desarrollo, necesitamos ejecutar pruebas de regresión, para comprobar que las correcciones no afecten otras funcionalidades del sistema.</t>
  </si>
  <si>
    <t>Ejecutar pruebas de regresión del módulo público</t>
  </si>
  <si>
    <t>Ejecutar pruebas de regresión del módulo de conductores</t>
  </si>
  <si>
    <t>Ejecutar pruebas de regresión del módulo administrativo y componentes integrados</t>
  </si>
  <si>
    <t>SP-08</t>
  </si>
  <si>
    <t>Como equipo de desarrollo, necesitamos validar los requerimientos funcionales y no funcionales, para comprobar que la solución cumple las necesidades establecidas.</t>
  </si>
  <si>
    <t>Verificar cumplimiento de los requerimientos funcionales</t>
  </si>
  <si>
    <t>Verificar seguridad, rendimiento e integridad de datos</t>
  </si>
  <si>
    <t>SP-09</t>
  </si>
  <si>
    <t>Como equipo de desarrollo, necesitamos verificar los indicadores de calidad, para asegurar que el sistema cumple los criterios establecidos antes del despliegue.</t>
  </si>
  <si>
    <t>Calcular porcentaje de casos de prueba aprobados</t>
  </si>
  <si>
    <t>Verificar ausencia de errores críticos y registrar resultados</t>
  </si>
  <si>
    <t>SP-10</t>
  </si>
  <si>
    <t>Como equipo de desarrollo, necesitamos consolidar la documentación y las evidencias finales, para respaldar los resultados de las pruebas y la validación del sistema.</t>
  </si>
  <si>
    <t>Actualizar documentación técnica y registro de correcciones</t>
  </si>
  <si>
    <t>Consolidar evidencias de pruebas y resultados de validación</t>
  </si>
  <si>
    <t>Preparar informe de validación y documentación para la entrega</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</si>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</sst>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rial"/>
      <scheme val="minor"/>
    </font>
    <font>
      <sz val="11.0"/>
      <color theme="1"/>
      <name val="Calibri"/>
    </font>
    <font>
      <b/>
      <sz val="22.0"/>
      <color theme="1"/>
      <name val="Calibri"/>
    </font>
    <font>
      <b/>
      <sz val="16.0"/>
      <color rgb="FF1F497D"/>
      <name val="Calibri"/>
    </font>
    <font>
      <sz val="11.0"/>
      <color theme="0"/>
      <name val="Calibri"/>
    </font>
    <font/>
    <font>
      <color theme="1"/>
      <name val="Arial"/>
      <scheme val="minor"/>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12">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ill="1" applyFont="1">
      <alignment horizontal="center" shrinkToFit="0" vertical="center" wrapText="1"/>
    </xf>
    <xf borderId="5" fillId="3" fontId="4" numFmtId="0" xfId="0" applyAlignment="1" applyBorder="1" applyFill="1" applyFont="1">
      <alignment horizontal="center" shrinkToFit="0" vertical="center" wrapText="1"/>
    </xf>
    <xf borderId="6" fillId="3" fontId="4" numFmtId="0" xfId="0" applyAlignment="1" applyBorder="1" applyFill="1" applyFont="1">
      <alignment horizontal="center" shrinkToFit="0" vertical="center" wrapText="1"/>
    </xf>
    <xf borderId="7" fillId="2" fontId="1" numFmtId="0" xfId="0" applyBorder="1" applyFill="1" applyFont="1"/>
    <xf borderId="8" fillId="2" fontId="1" numFmtId="0" xfId="0" applyAlignment="1" applyBorder="1" applyFill="1" applyFont="1">
      <alignment horizontal="center" readingOrder="0" shrinkToFit="0" vertical="center" wrapText="1"/>
    </xf>
    <xf borderId="8" fillId="2" fontId="1" numFmtId="0" xfId="0" applyAlignment="1" applyBorder="1" applyFill="1" applyFont="1">
      <alignment horizontal="left" readingOrder="0" shrinkToFit="0" vertical="top" wrapText="1"/>
    </xf>
    <xf borderId="5" fillId="2" fontId="1" numFmtId="0" xfId="0" applyAlignment="1" applyBorder="1" applyFill="1" applyFont="1">
      <alignment horizontal="left" readingOrder="0" shrinkToFit="0" vertical="top" wrapText="1"/>
    </xf>
    <xf borderId="5" fillId="2" fontId="1" numFmtId="0" xfId="0" applyAlignment="1" applyBorder="1" applyFill="1" applyFont="1">
      <alignment horizontal="center" readingOrder="0" shrinkToFit="0" vertical="top" wrapText="1"/>
    </xf>
    <xf borderId="5" fillId="0" fontId="6" numFmtId="0" xfId="0" applyAlignment="1" applyBorder="1" applyFont="1">
      <alignment horizontal="center" readingOrder="0" shrinkToFit="0" vertical="top" wrapText="1"/>
    </xf>
    <xf borderId="5" fillId="0" fontId="6" numFmtId="0" xfId="0" applyAlignment="1" applyBorder="1" applyFont="1">
      <alignment horizontal="right" readingOrder="0"/>
    </xf>
    <xf borderId="5" fillId="2" fontId="1" numFmtId="0" xfId="0" applyAlignment="1" applyBorder="1" applyFill="1" applyFont="1">
      <alignment horizontal="right" readingOrder="0" shrinkToFit="0" vertical="top" wrapText="1"/>
    </xf>
    <xf borderId="5" fillId="4" fontId="1" numFmtId="0" xfId="0" applyAlignment="1" applyBorder="1" applyFill="1" applyFont="1">
      <alignment horizontal="right" shrinkToFit="0" vertical="top" wrapText="1"/>
    </xf>
    <xf borderId="5" fillId="5" fontId="1" numFmtId="0" xfId="0" applyAlignment="1" applyBorder="1" applyFill="1" applyFont="1">
      <alignment horizontal="right" shrinkToFit="0" vertical="top" wrapText="1"/>
    </xf>
    <xf borderId="9" fillId="0" fontId="5" numFmtId="0" xfId="0" applyBorder="1" applyFont="1"/>
    <xf borderId="10" fillId="0" fontId="5" numFmtId="0" xfId="0" applyBorder="1" applyFont="1"/>
    <xf borderId="1" fillId="2" fontId="1" numFmtId="0" xfId="0" applyAlignment="1" applyBorder="1" applyFill="1" applyFont="1">
      <alignment horizontal="center"/>
    </xf>
    <xf borderId="1" fillId="2" fontId="1" numFmtId="0" xfId="0" applyAlignment="1" applyBorder="1" applyFill="1" applyFont="1">
      <alignment horizontal="center" readingOrder="0"/>
    </xf>
    <xf borderId="1" fillId="2" fontId="1" numFmtId="0" xfId="0" applyAlignment="1" applyBorder="1" applyFill="1" applyFont="1">
      <alignment horizontal="center" shrinkToFit="0" vertical="top" wrapText="1"/>
    </xf>
    <xf borderId="1" fillId="2" fontId="1" numFmtId="0" xfId="0" applyAlignment="1" applyBorder="1" applyFill="1" applyFont="1">
      <alignment horizontal="center" readingOrder="0" shrinkToFit="0" vertical="top" wrapText="1"/>
    </xf>
    <xf borderId="0" fillId="0" fontId="6" numFmtId="0" xfId="0" applyAlignment="1" applyFont="1">
      <alignment horizontal="right" readingOrder="0"/>
    </xf>
    <xf borderId="5" fillId="2" fontId="1" numFmtId="0" xfId="0" applyAlignment="1" applyBorder="1" applyFill="1" applyFont="1">
      <alignment horizontal="right" shrinkToFit="0" vertical="top" wrapText="1"/>
    </xf>
    <xf borderId="11" fillId="2" fontId="1" numFmtId="0" xfId="0" applyBorder="1" applyFill="1" applyFont="1"/>
    <xf borderId="11" fillId="2" fontId="1" numFmtId="0" xfId="0" applyAlignment="1" applyBorder="1" applyFill="1" applyFont="1">
      <alignment horizontal="center" shrinkToFit="0" vertical="top" wrapText="1"/>
    </xf>
    <xf borderId="11" fillId="2" fontId="1" numFmtId="0" xfId="0" applyAlignment="1" applyBorder="1" applyFill="1" applyFont="1">
      <alignment horizontal="center" readingOrder="0" shrinkToFit="0" vertical="top" wrapText="1"/>
    </xf>
    <xf borderId="11" fillId="2" fontId="1" numFmtId="0" xfId="0" applyAlignment="1" applyBorder="1" applyFill="1" applyFont="1">
      <alignment readingOrder="0"/>
    </xf>
    <xf borderId="5" fillId="3" fontId="4" numFmtId="0" xfId="0" applyBorder="1" applyFill="1" applyFont="1"/>
    <xf borderId="5" fillId="2" fontId="1"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2.63" defaultRowHeight="15.0"/>
  <cols>
    <col customWidth="1" min="1" max="1" width="1.25"/>
    <col customWidth="1" min="2" max="2" width="14.38"/>
    <col customWidth="1" min="3" max="3" width="34.25"/>
    <col customWidth="1" min="4" max="4" width="27.88"/>
    <col customWidth="1" min="5" max="5" width="15.25"/>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row>
    <row r="5">
      <c r="A5" s="1"/>
      <c r="B5" s="7" t="s">
        <v>14</v>
      </c>
      <c r="C5" s="7" t="s">
        <v>15</v>
      </c>
      <c r="D5" s="7" t="s">
        <v>16</v>
      </c>
      <c r="E5" s="7" t="s">
        <v>17</v>
      </c>
      <c r="F5" s="7" t="s">
        <v>18</v>
      </c>
      <c r="G5" s="7" t="s">
        <v>19</v>
      </c>
      <c r="H5" s="8" t="s">
        <v>20</v>
      </c>
      <c r="I5" s="8" t="s">
        <v>21</v>
      </c>
      <c r="J5" s="8"/>
      <c r="K5" s="8" t="s">
        <v>20</v>
      </c>
      <c r="L5" s="8" t="s">
        <v>21</v>
      </c>
      <c r="M5" s="8"/>
      <c r="N5" s="8" t="s">
        <v>20</v>
      </c>
      <c r="O5" s="8" t="s">
        <v>21</v>
      </c>
      <c r="P5" s="8"/>
      <c r="Q5" s="8" t="s">
        <v>20</v>
      </c>
      <c r="R5" s="8" t="s">
        <v>21</v>
      </c>
      <c r="S5" s="8"/>
      <c r="T5" s="8" t="s">
        <v>20</v>
      </c>
      <c r="U5" s="8" t="s">
        <v>21</v>
      </c>
      <c r="V5" s="8"/>
      <c r="W5" s="8" t="s">
        <v>20</v>
      </c>
      <c r="X5" s="8" t="s">
        <v>21</v>
      </c>
      <c r="Y5" s="8"/>
      <c r="Z5" s="8" t="s">
        <v>20</v>
      </c>
      <c r="AA5" s="8" t="s">
        <v>21</v>
      </c>
      <c r="AB5" s="8"/>
      <c r="AC5" s="8" t="s">
        <v>20</v>
      </c>
      <c r="AD5" s="8" t="s">
        <v>21</v>
      </c>
      <c r="AE5" s="8"/>
      <c r="AF5" s="8" t="s">
        <v>20</v>
      </c>
      <c r="AG5" s="8" t="s">
        <v>21</v>
      </c>
      <c r="AH5" s="8"/>
      <c r="AI5" s="8" t="s">
        <v>20</v>
      </c>
      <c r="AJ5" s="8" t="s">
        <v>21</v>
      </c>
      <c r="AK5" s="8"/>
      <c r="AL5" s="8" t="s">
        <v>20</v>
      </c>
      <c r="AM5" s="8" t="s">
        <v>21</v>
      </c>
    </row>
    <row r="6" ht="35.25" customHeight="1">
      <c r="A6" s="9"/>
      <c r="B6" s="10" t="s">
        <v>22</v>
      </c>
      <c r="C6" s="11" t="s">
        <v>23</v>
      </c>
      <c r="D6" s="12" t="s">
        <v>24</v>
      </c>
      <c r="E6" s="13" t="s">
        <v>25</v>
      </c>
      <c r="F6" s="14" t="s">
        <v>26</v>
      </c>
      <c r="G6" s="15">
        <v>2.0</v>
      </c>
      <c r="H6" s="16">
        <v>2.0</v>
      </c>
      <c r="I6" s="16">
        <v>0.0</v>
      </c>
      <c r="J6" s="17"/>
      <c r="K6" s="16">
        <v>0.0</v>
      </c>
      <c r="L6" s="16">
        <v>0.0</v>
      </c>
      <c r="M6" s="17"/>
      <c r="N6" s="16">
        <v>0.0</v>
      </c>
      <c r="O6" s="16">
        <v>0.0</v>
      </c>
      <c r="P6" s="17"/>
      <c r="Q6" s="16">
        <v>0.0</v>
      </c>
      <c r="R6" s="16">
        <v>0.0</v>
      </c>
      <c r="S6" s="17"/>
      <c r="T6" s="16">
        <v>0.0</v>
      </c>
      <c r="U6" s="16">
        <v>0.0</v>
      </c>
      <c r="V6" s="17"/>
      <c r="W6" s="16">
        <v>0.0</v>
      </c>
      <c r="X6" s="16">
        <v>0.0</v>
      </c>
      <c r="Y6" s="17"/>
      <c r="Z6" s="16">
        <v>0.0</v>
      </c>
      <c r="AA6" s="16">
        <v>0.0</v>
      </c>
      <c r="AB6" s="17"/>
      <c r="AC6" s="16">
        <v>0.0</v>
      </c>
      <c r="AD6" s="16">
        <v>0.0</v>
      </c>
      <c r="AE6" s="17"/>
      <c r="AF6" s="16">
        <v>0.0</v>
      </c>
      <c r="AG6" s="16">
        <v>0.0</v>
      </c>
      <c r="AH6" s="17"/>
      <c r="AI6" s="16">
        <v>0.0</v>
      </c>
      <c r="AJ6" s="16">
        <v>0.0</v>
      </c>
      <c r="AK6" s="17"/>
      <c r="AL6" s="18">
        <f t="shared" ref="AL6:AL20" si="1">H6+K6+N6+Q6+T6+W6+Z6+AC6+AF6+AI6</f>
        <v>2</v>
      </c>
      <c r="AM6" s="18">
        <f t="shared" ref="AM6:AM20" si="2">G6-AL6</f>
        <v>0</v>
      </c>
    </row>
    <row r="7" ht="35.25" customHeight="1">
      <c r="A7" s="9"/>
      <c r="B7" s="19"/>
      <c r="C7" s="19"/>
      <c r="D7" s="12" t="s">
        <v>40</v>
      </c>
      <c r="E7" s="13" t="s">
        <v>25</v>
      </c>
      <c r="F7" s="14" t="s">
        <v>26</v>
      </c>
      <c r="G7" s="15">
        <v>4.0</v>
      </c>
      <c r="H7" s="16">
        <v>2.0</v>
      </c>
      <c r="I7" s="16">
        <v>2.0</v>
      </c>
      <c r="J7" s="17"/>
      <c r="K7" s="16">
        <v>2.0</v>
      </c>
      <c r="L7" s="16">
        <v>0.0</v>
      </c>
      <c r="M7" s="17"/>
      <c r="N7" s="16">
        <v>0.0</v>
      </c>
      <c r="O7" s="16">
        <v>0.0</v>
      </c>
      <c r="P7" s="17"/>
      <c r="Q7" s="16">
        <v>0.0</v>
      </c>
      <c r="R7" s="16">
        <v>0.0</v>
      </c>
      <c r="S7" s="17"/>
      <c r="T7" s="16">
        <v>0.0</v>
      </c>
      <c r="U7" s="16">
        <v>0.0</v>
      </c>
      <c r="V7" s="17"/>
      <c r="W7" s="16">
        <v>0.0</v>
      </c>
      <c r="X7" s="16">
        <v>0.0</v>
      </c>
      <c r="Y7" s="17"/>
      <c r="Z7" s="16">
        <v>0.0</v>
      </c>
      <c r="AA7" s="16">
        <v>0.0</v>
      </c>
      <c r="AB7" s="17"/>
      <c r="AC7" s="16">
        <v>0.0</v>
      </c>
      <c r="AD7" s="16">
        <v>0.0</v>
      </c>
      <c r="AE7" s="17"/>
      <c r="AF7" s="16">
        <v>0.0</v>
      </c>
      <c r="AG7" s="16">
        <v>0.0</v>
      </c>
      <c r="AH7" s="17"/>
      <c r="AI7" s="16">
        <v>0.0</v>
      </c>
      <c r="AJ7" s="16">
        <v>0.0</v>
      </c>
      <c r="AK7" s="17"/>
      <c r="AL7" s="18">
        <f t="shared" si="1"/>
        <v>4</v>
      </c>
      <c r="AM7" s="18">
        <f t="shared" si="2"/>
        <v>0</v>
      </c>
    </row>
    <row r="8" ht="35.25" customHeight="1">
      <c r="A8" s="9"/>
      <c r="B8" s="20"/>
      <c r="C8" s="20"/>
      <c r="D8" s="12" t="s">
        <v>42</v>
      </c>
      <c r="E8" s="13" t="s">
        <v>25</v>
      </c>
      <c r="F8" s="14" t="s">
        <v>26</v>
      </c>
      <c r="G8" s="15">
        <v>2.0</v>
      </c>
      <c r="H8" s="16">
        <v>0.0</v>
      </c>
      <c r="I8" s="16">
        <v>2.0</v>
      </c>
      <c r="J8" s="17"/>
      <c r="K8" s="16">
        <v>2.0</v>
      </c>
      <c r="L8" s="16">
        <v>0.0</v>
      </c>
      <c r="M8" s="17"/>
      <c r="N8" s="16">
        <v>0.0</v>
      </c>
      <c r="O8" s="16">
        <v>0.0</v>
      </c>
      <c r="P8" s="17"/>
      <c r="Q8" s="16">
        <v>0.0</v>
      </c>
      <c r="R8" s="16">
        <v>0.0</v>
      </c>
      <c r="S8" s="17"/>
      <c r="T8" s="16">
        <v>0.0</v>
      </c>
      <c r="U8" s="16">
        <v>0.0</v>
      </c>
      <c r="V8" s="17"/>
      <c r="W8" s="16">
        <v>0.0</v>
      </c>
      <c r="X8" s="16">
        <v>0.0</v>
      </c>
      <c r="Y8" s="17"/>
      <c r="Z8" s="16">
        <v>0.0</v>
      </c>
      <c r="AA8" s="16">
        <v>0.0</v>
      </c>
      <c r="AB8" s="17"/>
      <c r="AC8" s="16">
        <v>0.0</v>
      </c>
      <c r="AD8" s="16">
        <v>0.0</v>
      </c>
      <c r="AE8" s="17"/>
      <c r="AF8" s="16">
        <v>0.0</v>
      </c>
      <c r="AG8" s="16">
        <v>0.0</v>
      </c>
      <c r="AH8" s="17"/>
      <c r="AI8" s="16">
        <v>0.0</v>
      </c>
      <c r="AJ8" s="16">
        <v>0.0</v>
      </c>
      <c r="AK8" s="17"/>
      <c r="AL8" s="18">
        <f t="shared" si="1"/>
        <v>2</v>
      </c>
      <c r="AM8" s="18">
        <f t="shared" si="2"/>
        <v>0</v>
      </c>
    </row>
    <row r="9" ht="35.25" customHeight="1">
      <c r="A9" s="9"/>
      <c r="B9" s="10" t="s">
        <v>46</v>
      </c>
      <c r="C9" s="11" t="s">
        <v>49</v>
      </c>
      <c r="D9" s="12" t="s">
        <v>52</v>
      </c>
      <c r="E9" s="13" t="s">
        <v>25</v>
      </c>
      <c r="F9" s="14" t="s">
        <v>30</v>
      </c>
      <c r="G9" s="15">
        <v>3.0</v>
      </c>
      <c r="H9" s="16">
        <v>0.0</v>
      </c>
      <c r="I9" s="16">
        <v>3.0</v>
      </c>
      <c r="J9" s="17"/>
      <c r="K9" s="16">
        <v>0.0</v>
      </c>
      <c r="L9" s="16">
        <v>3.0</v>
      </c>
      <c r="M9" s="17"/>
      <c r="N9" s="16">
        <v>3.0</v>
      </c>
      <c r="O9" s="16">
        <v>0.0</v>
      </c>
      <c r="P9" s="17"/>
      <c r="Q9" s="16">
        <v>0.0</v>
      </c>
      <c r="R9" s="16">
        <v>0.0</v>
      </c>
      <c r="S9" s="17"/>
      <c r="T9" s="16">
        <v>0.0</v>
      </c>
      <c r="U9" s="16">
        <v>0.0</v>
      </c>
      <c r="V9" s="17"/>
      <c r="W9" s="16">
        <v>0.0</v>
      </c>
      <c r="X9" s="16">
        <v>0.0</v>
      </c>
      <c r="Y9" s="17"/>
      <c r="Z9" s="16">
        <v>0.0</v>
      </c>
      <c r="AA9" s="16">
        <v>0.0</v>
      </c>
      <c r="AB9" s="17"/>
      <c r="AC9" s="16">
        <v>0.0</v>
      </c>
      <c r="AD9" s="16">
        <v>0.0</v>
      </c>
      <c r="AE9" s="17"/>
      <c r="AF9" s="16">
        <v>0.0</v>
      </c>
      <c r="AG9" s="16">
        <v>0.0</v>
      </c>
      <c r="AH9" s="17"/>
      <c r="AI9" s="16">
        <v>0.0</v>
      </c>
      <c r="AJ9" s="16">
        <v>0.0</v>
      </c>
      <c r="AK9" s="17"/>
      <c r="AL9" s="18">
        <f t="shared" si="1"/>
        <v>3</v>
      </c>
      <c r="AM9" s="18">
        <f t="shared" si="2"/>
        <v>0</v>
      </c>
    </row>
    <row r="10" ht="35.25" customHeight="1">
      <c r="A10" s="9"/>
      <c r="B10" s="19"/>
      <c r="C10" s="19"/>
      <c r="D10" s="12" t="s">
        <v>58</v>
      </c>
      <c r="E10" s="13" t="s">
        <v>25</v>
      </c>
      <c r="F10" s="14" t="s">
        <v>30</v>
      </c>
      <c r="G10" s="15">
        <v>5.0</v>
      </c>
      <c r="H10" s="16">
        <v>0.0</v>
      </c>
      <c r="I10" s="16">
        <v>5.0</v>
      </c>
      <c r="J10" s="17"/>
      <c r="K10" s="16">
        <v>0.0</v>
      </c>
      <c r="L10" s="16">
        <v>5.0</v>
      </c>
      <c r="M10" s="17"/>
      <c r="N10" s="16">
        <v>3.0</v>
      </c>
      <c r="O10" s="16">
        <v>2.0</v>
      </c>
      <c r="P10" s="17"/>
      <c r="Q10" s="16">
        <v>2.0</v>
      </c>
      <c r="R10" s="16">
        <v>0.0</v>
      </c>
      <c r="S10" s="17"/>
      <c r="T10" s="16">
        <v>0.0</v>
      </c>
      <c r="U10" s="16">
        <v>0.0</v>
      </c>
      <c r="V10" s="17"/>
      <c r="W10" s="16">
        <v>0.0</v>
      </c>
      <c r="X10" s="16">
        <v>0.0</v>
      </c>
      <c r="Y10" s="17"/>
      <c r="Z10" s="16">
        <v>0.0</v>
      </c>
      <c r="AA10" s="16">
        <v>0.0</v>
      </c>
      <c r="AB10" s="17"/>
      <c r="AC10" s="16">
        <v>0.0</v>
      </c>
      <c r="AD10" s="16">
        <v>0.0</v>
      </c>
      <c r="AE10" s="17"/>
      <c r="AF10" s="16">
        <v>0.0</v>
      </c>
      <c r="AG10" s="16">
        <v>0.0</v>
      </c>
      <c r="AH10" s="17"/>
      <c r="AI10" s="16">
        <v>0.0</v>
      </c>
      <c r="AJ10" s="16">
        <v>0.0</v>
      </c>
      <c r="AK10" s="17"/>
      <c r="AL10" s="18">
        <f t="shared" si="1"/>
        <v>5</v>
      </c>
      <c r="AM10" s="18">
        <f t="shared" si="2"/>
        <v>0</v>
      </c>
    </row>
    <row r="11" ht="35.25" customHeight="1">
      <c r="A11" s="9"/>
      <c r="B11" s="20"/>
      <c r="C11" s="20"/>
      <c r="D11" s="12" t="s">
        <v>60</v>
      </c>
      <c r="E11" s="13" t="s">
        <v>25</v>
      </c>
      <c r="F11" s="14" t="s">
        <v>30</v>
      </c>
      <c r="G11" s="15">
        <v>4.0</v>
      </c>
      <c r="H11" s="16">
        <v>0.0</v>
      </c>
      <c r="I11" s="16">
        <v>4.0</v>
      </c>
      <c r="J11" s="17"/>
      <c r="K11" s="16">
        <v>0.0</v>
      </c>
      <c r="L11" s="16">
        <v>4.0</v>
      </c>
      <c r="M11" s="17"/>
      <c r="N11" s="16">
        <v>0.0</v>
      </c>
      <c r="O11" s="16">
        <v>4.0</v>
      </c>
      <c r="P11" s="17"/>
      <c r="Q11" s="16">
        <v>4.0</v>
      </c>
      <c r="R11" s="16">
        <v>0.0</v>
      </c>
      <c r="S11" s="17"/>
      <c r="T11" s="16">
        <v>0.0</v>
      </c>
      <c r="U11" s="16">
        <v>0.0</v>
      </c>
      <c r="V11" s="17"/>
      <c r="W11" s="16">
        <v>0.0</v>
      </c>
      <c r="X11" s="16">
        <v>0.0</v>
      </c>
      <c r="Y11" s="17"/>
      <c r="Z11" s="16">
        <v>0.0</v>
      </c>
      <c r="AA11" s="16">
        <v>0.0</v>
      </c>
      <c r="AB11" s="17"/>
      <c r="AC11" s="16">
        <v>0.0</v>
      </c>
      <c r="AD11" s="16">
        <v>0.0</v>
      </c>
      <c r="AE11" s="17"/>
      <c r="AF11" s="16">
        <v>0.0</v>
      </c>
      <c r="AG11" s="16">
        <v>0.0</v>
      </c>
      <c r="AH11" s="17"/>
      <c r="AI11" s="16">
        <v>0.0</v>
      </c>
      <c r="AJ11" s="16">
        <v>0.0</v>
      </c>
      <c r="AK11" s="17"/>
      <c r="AL11" s="18">
        <f t="shared" si="1"/>
        <v>4</v>
      </c>
      <c r="AM11" s="18">
        <f t="shared" si="2"/>
        <v>0</v>
      </c>
    </row>
    <row r="12" ht="35.25" customHeight="1">
      <c r="A12" s="9"/>
      <c r="B12" s="10" t="s">
        <v>64</v>
      </c>
      <c r="C12" s="11" t="s">
        <v>65</v>
      </c>
      <c r="D12" s="12" t="s">
        <v>67</v>
      </c>
      <c r="E12" s="13" t="s">
        <v>25</v>
      </c>
      <c r="F12" s="14" t="s">
        <v>26</v>
      </c>
      <c r="G12" s="15">
        <v>2.0</v>
      </c>
      <c r="H12" s="16">
        <v>0.0</v>
      </c>
      <c r="I12" s="16">
        <v>2.0</v>
      </c>
      <c r="J12" s="17"/>
      <c r="K12" s="16">
        <v>0.0</v>
      </c>
      <c r="L12" s="16">
        <v>2.0</v>
      </c>
      <c r="M12" s="17"/>
      <c r="N12" s="16">
        <v>0.0</v>
      </c>
      <c r="O12" s="16">
        <v>2.0</v>
      </c>
      <c r="P12" s="17"/>
      <c r="Q12" s="16">
        <v>0.0</v>
      </c>
      <c r="R12" s="16">
        <v>2.0</v>
      </c>
      <c r="S12" s="17"/>
      <c r="T12" s="16">
        <v>2.0</v>
      </c>
      <c r="U12" s="16">
        <v>0.0</v>
      </c>
      <c r="V12" s="17"/>
      <c r="W12" s="16">
        <v>0.0</v>
      </c>
      <c r="X12" s="16">
        <v>0.0</v>
      </c>
      <c r="Y12" s="17"/>
      <c r="Z12" s="16">
        <v>0.0</v>
      </c>
      <c r="AA12" s="16">
        <v>0.0</v>
      </c>
      <c r="AB12" s="17"/>
      <c r="AC12" s="16">
        <v>0.0</v>
      </c>
      <c r="AD12" s="16">
        <v>0.0</v>
      </c>
      <c r="AE12" s="17"/>
      <c r="AF12" s="16">
        <v>0.0</v>
      </c>
      <c r="AG12" s="16">
        <v>0.0</v>
      </c>
      <c r="AH12" s="17"/>
      <c r="AI12" s="16">
        <v>0.0</v>
      </c>
      <c r="AJ12" s="16">
        <v>0.0</v>
      </c>
      <c r="AK12" s="17"/>
      <c r="AL12" s="18">
        <f t="shared" si="1"/>
        <v>2</v>
      </c>
      <c r="AM12" s="18">
        <f t="shared" si="2"/>
        <v>0</v>
      </c>
    </row>
    <row r="13" ht="35.25" customHeight="1">
      <c r="A13" s="9"/>
      <c r="B13" s="19"/>
      <c r="C13" s="19"/>
      <c r="D13" s="12" t="s">
        <v>74</v>
      </c>
      <c r="E13" s="13" t="s">
        <v>25</v>
      </c>
      <c r="F13" s="14" t="s">
        <v>26</v>
      </c>
      <c r="G13" s="15">
        <v>4.0</v>
      </c>
      <c r="H13" s="16">
        <v>0.0</v>
      </c>
      <c r="I13" s="16">
        <v>4.0</v>
      </c>
      <c r="J13" s="17"/>
      <c r="K13" s="16">
        <v>0.0</v>
      </c>
      <c r="L13" s="16">
        <v>4.0</v>
      </c>
      <c r="M13" s="17"/>
      <c r="N13" s="16">
        <v>0.0</v>
      </c>
      <c r="O13" s="16">
        <v>4.0</v>
      </c>
      <c r="P13" s="17"/>
      <c r="Q13" s="16">
        <v>0.0</v>
      </c>
      <c r="R13" s="16">
        <v>4.0</v>
      </c>
      <c r="S13" s="17"/>
      <c r="T13" s="16">
        <v>2.0</v>
      </c>
      <c r="U13" s="16">
        <v>2.0</v>
      </c>
      <c r="V13" s="17"/>
      <c r="W13" s="16">
        <v>2.0</v>
      </c>
      <c r="X13" s="16">
        <v>0.0</v>
      </c>
      <c r="Y13" s="17"/>
      <c r="Z13" s="16">
        <v>0.0</v>
      </c>
      <c r="AA13" s="16">
        <v>0.0</v>
      </c>
      <c r="AB13" s="17"/>
      <c r="AC13" s="16">
        <v>0.0</v>
      </c>
      <c r="AD13" s="16">
        <v>0.0</v>
      </c>
      <c r="AE13" s="17"/>
      <c r="AF13" s="16">
        <v>0.0</v>
      </c>
      <c r="AG13" s="16">
        <v>0.0</v>
      </c>
      <c r="AH13" s="17"/>
      <c r="AI13" s="16">
        <v>0.0</v>
      </c>
      <c r="AJ13" s="16">
        <v>0.0</v>
      </c>
      <c r="AK13" s="17"/>
      <c r="AL13" s="18">
        <f t="shared" si="1"/>
        <v>4</v>
      </c>
      <c r="AM13" s="18">
        <f t="shared" si="2"/>
        <v>0</v>
      </c>
    </row>
    <row r="14" ht="35.25" customHeight="1">
      <c r="A14" s="9"/>
      <c r="B14" s="20"/>
      <c r="C14" s="20"/>
      <c r="D14" s="12" t="s">
        <v>77</v>
      </c>
      <c r="E14" s="13" t="s">
        <v>25</v>
      </c>
      <c r="F14" s="14" t="s">
        <v>30</v>
      </c>
      <c r="G14" s="15">
        <v>2.0</v>
      </c>
      <c r="H14" s="16">
        <v>0.0</v>
      </c>
      <c r="I14" s="16">
        <v>2.0</v>
      </c>
      <c r="J14" s="17"/>
      <c r="K14" s="16">
        <v>0.0</v>
      </c>
      <c r="L14" s="16">
        <v>2.0</v>
      </c>
      <c r="M14" s="17"/>
      <c r="N14" s="16">
        <v>0.0</v>
      </c>
      <c r="O14" s="16">
        <v>2.0</v>
      </c>
      <c r="P14" s="17"/>
      <c r="Q14" s="16">
        <v>0.0</v>
      </c>
      <c r="R14" s="16">
        <v>2.0</v>
      </c>
      <c r="S14" s="17"/>
      <c r="T14" s="16">
        <v>0.0</v>
      </c>
      <c r="U14" s="16">
        <v>2.0</v>
      </c>
      <c r="V14" s="17"/>
      <c r="W14" s="16">
        <v>2.0</v>
      </c>
      <c r="X14" s="16">
        <v>0.0</v>
      </c>
      <c r="Y14" s="17"/>
      <c r="Z14" s="16">
        <v>0.0</v>
      </c>
      <c r="AA14" s="16">
        <v>0.0</v>
      </c>
      <c r="AB14" s="17"/>
      <c r="AC14" s="16">
        <v>0.0</v>
      </c>
      <c r="AD14" s="16">
        <v>0.0</v>
      </c>
      <c r="AE14" s="17"/>
      <c r="AF14" s="16">
        <v>0.0</v>
      </c>
      <c r="AG14" s="16">
        <v>0.0</v>
      </c>
      <c r="AH14" s="17"/>
      <c r="AI14" s="16">
        <v>0.0</v>
      </c>
      <c r="AJ14" s="16">
        <v>0.0</v>
      </c>
      <c r="AK14" s="17"/>
      <c r="AL14" s="18">
        <f t="shared" si="1"/>
        <v>2</v>
      </c>
      <c r="AM14" s="18">
        <f t="shared" si="2"/>
        <v>0</v>
      </c>
    </row>
    <row r="15" ht="35.25" customHeight="1">
      <c r="A15" s="9"/>
      <c r="B15" s="10" t="s">
        <v>80</v>
      </c>
      <c r="C15" s="11" t="s">
        <v>83</v>
      </c>
      <c r="D15" s="12" t="s">
        <v>85</v>
      </c>
      <c r="E15" s="13" t="s">
        <v>25</v>
      </c>
      <c r="F15" s="14" t="s">
        <v>30</v>
      </c>
      <c r="G15" s="15">
        <v>2.0</v>
      </c>
      <c r="H15" s="16">
        <v>0.0</v>
      </c>
      <c r="I15" s="16">
        <v>2.0</v>
      </c>
      <c r="J15" s="17"/>
      <c r="K15" s="16">
        <v>0.0</v>
      </c>
      <c r="L15" s="16">
        <v>2.0</v>
      </c>
      <c r="M15" s="17"/>
      <c r="N15" s="16">
        <v>0.0</v>
      </c>
      <c r="O15" s="16">
        <v>2.0</v>
      </c>
      <c r="P15" s="17"/>
      <c r="Q15" s="16">
        <v>0.0</v>
      </c>
      <c r="R15" s="16">
        <v>2.0</v>
      </c>
      <c r="S15" s="17"/>
      <c r="T15" s="16">
        <v>0.0</v>
      </c>
      <c r="U15" s="16">
        <v>2.0</v>
      </c>
      <c r="V15" s="17"/>
      <c r="W15" s="16">
        <v>0.0</v>
      </c>
      <c r="X15" s="16">
        <v>2.0</v>
      </c>
      <c r="Y15" s="17"/>
      <c r="Z15" s="16">
        <v>2.0</v>
      </c>
      <c r="AA15" s="16">
        <v>0.0</v>
      </c>
      <c r="AB15" s="17"/>
      <c r="AC15" s="16">
        <v>0.0</v>
      </c>
      <c r="AD15" s="16">
        <v>0.0</v>
      </c>
      <c r="AE15" s="17"/>
      <c r="AF15" s="16">
        <v>0.0</v>
      </c>
      <c r="AG15" s="16">
        <v>0.0</v>
      </c>
      <c r="AH15" s="17"/>
      <c r="AI15" s="16">
        <v>0.0</v>
      </c>
      <c r="AJ15" s="16">
        <v>0.0</v>
      </c>
      <c r="AK15" s="17"/>
      <c r="AL15" s="18">
        <f t="shared" si="1"/>
        <v>2</v>
      </c>
      <c r="AM15" s="18">
        <f t="shared" si="2"/>
        <v>0</v>
      </c>
    </row>
    <row r="16" ht="35.25" customHeight="1">
      <c r="A16" s="9"/>
      <c r="B16" s="19"/>
      <c r="C16" s="19"/>
      <c r="D16" s="12" t="s">
        <v>90</v>
      </c>
      <c r="E16" s="13" t="s">
        <v>25</v>
      </c>
      <c r="F16" s="14" t="s">
        <v>30</v>
      </c>
      <c r="G16" s="15">
        <v>3.0</v>
      </c>
      <c r="H16" s="16">
        <v>0.0</v>
      </c>
      <c r="I16" s="16">
        <v>3.0</v>
      </c>
      <c r="J16" s="17"/>
      <c r="K16" s="16">
        <v>0.0</v>
      </c>
      <c r="L16" s="16">
        <v>3.0</v>
      </c>
      <c r="M16" s="17"/>
      <c r="N16" s="16">
        <v>0.0</v>
      </c>
      <c r="O16" s="16">
        <v>3.0</v>
      </c>
      <c r="P16" s="17"/>
      <c r="Q16" s="16">
        <v>0.0</v>
      </c>
      <c r="R16" s="16">
        <v>3.0</v>
      </c>
      <c r="S16" s="17"/>
      <c r="T16" s="16">
        <v>0.0</v>
      </c>
      <c r="U16" s="16">
        <v>3.0</v>
      </c>
      <c r="V16" s="17"/>
      <c r="W16" s="16">
        <v>0.0</v>
      </c>
      <c r="X16" s="16">
        <v>3.0</v>
      </c>
      <c r="Y16" s="17"/>
      <c r="Z16" s="16">
        <v>2.0</v>
      </c>
      <c r="AA16" s="16">
        <v>1.0</v>
      </c>
      <c r="AB16" s="17"/>
      <c r="AC16" s="16">
        <v>1.0</v>
      </c>
      <c r="AD16" s="16">
        <v>0.0</v>
      </c>
      <c r="AE16" s="17"/>
      <c r="AF16" s="16">
        <v>0.0</v>
      </c>
      <c r="AG16" s="16">
        <v>0.0</v>
      </c>
      <c r="AH16" s="17"/>
      <c r="AI16" s="16">
        <v>0.0</v>
      </c>
      <c r="AJ16" s="16">
        <v>0.0</v>
      </c>
      <c r="AK16" s="17"/>
      <c r="AL16" s="18">
        <f t="shared" si="1"/>
        <v>3</v>
      </c>
      <c r="AM16" s="18">
        <f t="shared" si="2"/>
        <v>0</v>
      </c>
    </row>
    <row r="17" ht="35.25" customHeight="1">
      <c r="A17" s="9"/>
      <c r="B17" s="20"/>
      <c r="C17" s="20"/>
      <c r="D17" s="12" t="s">
        <v>94</v>
      </c>
      <c r="E17" s="13" t="s">
        <v>25</v>
      </c>
      <c r="F17" s="14" t="s">
        <v>30</v>
      </c>
      <c r="G17" s="15">
        <v>2.0</v>
      </c>
      <c r="H17" s="16">
        <v>0.0</v>
      </c>
      <c r="I17" s="16">
        <v>2.0</v>
      </c>
      <c r="J17" s="17"/>
      <c r="K17" s="16">
        <v>0.0</v>
      </c>
      <c r="L17" s="16">
        <v>2.0</v>
      </c>
      <c r="M17" s="17"/>
      <c r="N17" s="16">
        <v>0.0</v>
      </c>
      <c r="O17" s="16">
        <v>2.0</v>
      </c>
      <c r="P17" s="17"/>
      <c r="Q17" s="16">
        <v>0.0</v>
      </c>
      <c r="R17" s="16">
        <v>2.0</v>
      </c>
      <c r="S17" s="17"/>
      <c r="T17" s="16">
        <v>0.0</v>
      </c>
      <c r="U17" s="16">
        <v>2.0</v>
      </c>
      <c r="V17" s="17"/>
      <c r="W17" s="16">
        <v>0.0</v>
      </c>
      <c r="X17" s="16">
        <v>2.0</v>
      </c>
      <c r="Y17" s="17"/>
      <c r="Z17" s="16">
        <v>0.0</v>
      </c>
      <c r="AA17" s="16">
        <v>2.0</v>
      </c>
      <c r="AB17" s="17"/>
      <c r="AC17" s="16">
        <v>2.0</v>
      </c>
      <c r="AD17" s="16">
        <v>0.0</v>
      </c>
      <c r="AE17" s="17"/>
      <c r="AF17" s="16">
        <v>0.0</v>
      </c>
      <c r="AG17" s="16">
        <v>0.0</v>
      </c>
      <c r="AH17" s="17"/>
      <c r="AI17" s="16">
        <v>0.0</v>
      </c>
      <c r="AJ17" s="16">
        <v>0.0</v>
      </c>
      <c r="AK17" s="17"/>
      <c r="AL17" s="18">
        <f t="shared" si="1"/>
        <v>2</v>
      </c>
      <c r="AM17" s="18">
        <f t="shared" si="2"/>
        <v>0</v>
      </c>
    </row>
    <row r="18" ht="35.25" customHeight="1">
      <c r="A18" s="9"/>
      <c r="B18" s="10" t="s">
        <v>98</v>
      </c>
      <c r="C18" s="11" t="s">
        <v>99</v>
      </c>
      <c r="D18" s="12" t="s">
        <v>101</v>
      </c>
      <c r="E18" s="13" t="s">
        <v>25</v>
      </c>
      <c r="F18" s="14" t="s">
        <v>30</v>
      </c>
      <c r="G18" s="15">
        <v>1.0</v>
      </c>
      <c r="H18" s="16">
        <v>0.0</v>
      </c>
      <c r="I18" s="16">
        <v>1.0</v>
      </c>
      <c r="J18" s="17"/>
      <c r="K18" s="16">
        <v>0.0</v>
      </c>
      <c r="L18" s="16">
        <v>1.0</v>
      </c>
      <c r="M18" s="17"/>
      <c r="N18" s="16">
        <v>0.0</v>
      </c>
      <c r="O18" s="16">
        <v>1.0</v>
      </c>
      <c r="P18" s="17"/>
      <c r="Q18" s="16">
        <v>0.0</v>
      </c>
      <c r="R18" s="16">
        <v>1.0</v>
      </c>
      <c r="S18" s="17"/>
      <c r="T18" s="16">
        <v>0.0</v>
      </c>
      <c r="U18" s="16">
        <v>1.0</v>
      </c>
      <c r="V18" s="17"/>
      <c r="W18" s="16">
        <v>0.0</v>
      </c>
      <c r="X18" s="16">
        <v>1.0</v>
      </c>
      <c r="Y18" s="17"/>
      <c r="Z18" s="16">
        <v>0.0</v>
      </c>
      <c r="AA18" s="16">
        <v>1.0</v>
      </c>
      <c r="AB18" s="17"/>
      <c r="AC18" s="16">
        <v>0.0</v>
      </c>
      <c r="AD18" s="16">
        <v>1.0</v>
      </c>
      <c r="AE18" s="17"/>
      <c r="AF18" s="16">
        <v>1.0</v>
      </c>
      <c r="AG18" s="16">
        <v>0.0</v>
      </c>
      <c r="AH18" s="17"/>
      <c r="AI18" s="16">
        <v>0.0</v>
      </c>
      <c r="AJ18" s="16">
        <v>0.0</v>
      </c>
      <c r="AK18" s="17"/>
      <c r="AL18" s="18">
        <f t="shared" si="1"/>
        <v>1</v>
      </c>
      <c r="AM18" s="18">
        <f t="shared" si="2"/>
        <v>0</v>
      </c>
    </row>
    <row r="19" ht="35.25" customHeight="1">
      <c r="A19" s="9"/>
      <c r="B19" s="19"/>
      <c r="C19" s="19"/>
      <c r="D19" s="12" t="s">
        <v>103</v>
      </c>
      <c r="E19" s="13" t="s">
        <v>25</v>
      </c>
      <c r="F19" s="14" t="s">
        <v>30</v>
      </c>
      <c r="G19" s="15">
        <v>2.0</v>
      </c>
      <c r="H19" s="16">
        <v>0.0</v>
      </c>
      <c r="I19" s="16">
        <v>2.0</v>
      </c>
      <c r="J19" s="17"/>
      <c r="K19" s="16">
        <v>0.0</v>
      </c>
      <c r="L19" s="16">
        <v>2.0</v>
      </c>
      <c r="M19" s="17"/>
      <c r="N19" s="16">
        <v>0.0</v>
      </c>
      <c r="O19" s="16">
        <v>2.0</v>
      </c>
      <c r="P19" s="17"/>
      <c r="Q19" s="16">
        <v>0.0</v>
      </c>
      <c r="R19" s="16">
        <v>2.0</v>
      </c>
      <c r="S19" s="17"/>
      <c r="T19" s="16">
        <v>0.0</v>
      </c>
      <c r="U19" s="16">
        <v>2.0</v>
      </c>
      <c r="V19" s="17"/>
      <c r="W19" s="16">
        <v>0.0</v>
      </c>
      <c r="X19" s="16">
        <v>2.0</v>
      </c>
      <c r="Y19" s="17"/>
      <c r="Z19" s="16">
        <v>0.0</v>
      </c>
      <c r="AA19" s="16">
        <v>2.0</v>
      </c>
      <c r="AB19" s="17"/>
      <c r="AC19" s="16">
        <v>0.0</v>
      </c>
      <c r="AD19" s="16">
        <v>2.0</v>
      </c>
      <c r="AE19" s="17"/>
      <c r="AF19" s="16">
        <v>1.0</v>
      </c>
      <c r="AG19" s="16">
        <v>1.0</v>
      </c>
      <c r="AH19" s="17"/>
      <c r="AI19" s="16">
        <v>1.0</v>
      </c>
      <c r="AJ19" s="16">
        <v>0.0</v>
      </c>
      <c r="AK19" s="17"/>
      <c r="AL19" s="18">
        <f t="shared" si="1"/>
        <v>2</v>
      </c>
      <c r="AM19" s="18">
        <f t="shared" si="2"/>
        <v>0</v>
      </c>
    </row>
    <row r="20" ht="35.25" customHeight="1">
      <c r="A20" s="9"/>
      <c r="B20" s="20"/>
      <c r="C20" s="20"/>
      <c r="D20" s="12" t="s">
        <v>106</v>
      </c>
      <c r="E20" s="13" t="s">
        <v>25</v>
      </c>
      <c r="F20" s="14" t="s">
        <v>30</v>
      </c>
      <c r="G20" s="15">
        <v>1.0</v>
      </c>
      <c r="H20" s="16">
        <v>0.0</v>
      </c>
      <c r="I20" s="16">
        <v>1.0</v>
      </c>
      <c r="J20" s="17"/>
      <c r="K20" s="16">
        <v>0.0</v>
      </c>
      <c r="L20" s="16">
        <v>1.0</v>
      </c>
      <c r="M20" s="17"/>
      <c r="N20" s="16">
        <v>0.0</v>
      </c>
      <c r="O20" s="16">
        <v>1.0</v>
      </c>
      <c r="P20" s="17"/>
      <c r="Q20" s="16">
        <v>0.0</v>
      </c>
      <c r="R20" s="16">
        <v>1.0</v>
      </c>
      <c r="S20" s="17"/>
      <c r="T20" s="16">
        <v>0.0</v>
      </c>
      <c r="U20" s="16">
        <v>1.0</v>
      </c>
      <c r="V20" s="17"/>
      <c r="W20" s="16">
        <v>0.0</v>
      </c>
      <c r="X20" s="16">
        <v>1.0</v>
      </c>
      <c r="Y20" s="17"/>
      <c r="Z20" s="16">
        <v>0.0</v>
      </c>
      <c r="AA20" s="16">
        <v>1.0</v>
      </c>
      <c r="AB20" s="17"/>
      <c r="AC20" s="16">
        <v>0.0</v>
      </c>
      <c r="AD20" s="16">
        <v>1.0</v>
      </c>
      <c r="AE20" s="17"/>
      <c r="AF20" s="16">
        <v>0.0</v>
      </c>
      <c r="AG20" s="16">
        <v>1.0</v>
      </c>
      <c r="AH20" s="17"/>
      <c r="AI20" s="16">
        <v>1.0</v>
      </c>
      <c r="AJ20" s="16">
        <v>0.0</v>
      </c>
      <c r="AK20" s="17"/>
      <c r="AL20" s="18">
        <f t="shared" si="1"/>
        <v>1</v>
      </c>
      <c r="AM20" s="18">
        <f t="shared" si="2"/>
        <v>0</v>
      </c>
    </row>
    <row r="21" ht="15.75" customHeight="1">
      <c r="A21" s="1"/>
      <c r="B21" s="1"/>
      <c r="C21" s="1"/>
      <c r="D21" s="1"/>
      <c r="E21" s="1"/>
      <c r="F21" s="1"/>
      <c r="G21" s="25" t="s">
        <v>107</v>
      </c>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row>
  </sheetData>
  <mergeCells count="21">
    <mergeCell ref="AC4:AD4"/>
    <mergeCell ref="AF4:AG4"/>
    <mergeCell ref="AI4:AJ4"/>
    <mergeCell ref="H4:I4"/>
    <mergeCell ref="K4:L4"/>
    <mergeCell ref="N4:O4"/>
    <mergeCell ref="Q4:R4"/>
    <mergeCell ref="T4:U4"/>
    <mergeCell ref="W4:X4"/>
    <mergeCell ref="Z4:AA4"/>
    <mergeCell ref="C15:C17"/>
    <mergeCell ref="C18:C20"/>
    <mergeCell ref="B6:B8"/>
    <mergeCell ref="C6:C8"/>
    <mergeCell ref="C9:C11"/>
    <mergeCell ref="B9:B11"/>
    <mergeCell ref="B12:B14"/>
    <mergeCell ref="C12:C14"/>
    <mergeCell ref="B15:B17"/>
    <mergeCell ref="B18:B20"/>
    <mergeCell ref="AL4:AM4"/>
  </mergeCells>
  <printOptions/>
  <pageMargins bottom="0.7480314960629921" footer="0.0" header="0.0" left="0.6299212598425197" right="0.6299212598425197" top="0.7480314960629921"/>
  <pageSetup orientation="landscape"/>
  <colBreaks count="3" manualBreakCount="3">
    <brk id="36" man="1"/>
    <brk id="21" man="1"/>
    <brk id="39"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5"/>
    <col customWidth="1" min="2" max="2" width="14.38"/>
    <col customWidth="1" min="3" max="3" width="29.75"/>
    <col customWidth="1" min="4" max="4" width="27.25"/>
    <col customWidth="1" min="5" max="5" width="13.6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row>
    <row r="5">
      <c r="A5" s="1"/>
      <c r="B5" s="7" t="s">
        <v>14</v>
      </c>
      <c r="C5" s="7" t="s">
        <v>15</v>
      </c>
      <c r="D5" s="7" t="s">
        <v>16</v>
      </c>
      <c r="E5" s="7" t="s">
        <v>17</v>
      </c>
      <c r="F5" s="7" t="s">
        <v>18</v>
      </c>
      <c r="G5" s="7" t="s">
        <v>19</v>
      </c>
      <c r="H5" s="8" t="s">
        <v>20</v>
      </c>
      <c r="I5" s="8" t="s">
        <v>21</v>
      </c>
      <c r="J5" s="8"/>
      <c r="K5" s="8" t="s">
        <v>20</v>
      </c>
      <c r="L5" s="8" t="s">
        <v>21</v>
      </c>
      <c r="M5" s="8"/>
      <c r="N5" s="8" t="s">
        <v>20</v>
      </c>
      <c r="O5" s="8" t="s">
        <v>21</v>
      </c>
      <c r="P5" s="8"/>
      <c r="Q5" s="8" t="s">
        <v>20</v>
      </c>
      <c r="R5" s="8" t="s">
        <v>21</v>
      </c>
      <c r="S5" s="8"/>
      <c r="T5" s="8" t="s">
        <v>20</v>
      </c>
      <c r="U5" s="8" t="s">
        <v>21</v>
      </c>
      <c r="V5" s="8"/>
      <c r="W5" s="8" t="s">
        <v>20</v>
      </c>
      <c r="X5" s="8" t="s">
        <v>21</v>
      </c>
      <c r="Y5" s="8"/>
      <c r="Z5" s="8" t="s">
        <v>20</v>
      </c>
      <c r="AA5" s="8" t="s">
        <v>21</v>
      </c>
      <c r="AB5" s="8"/>
      <c r="AC5" s="8" t="s">
        <v>20</v>
      </c>
      <c r="AD5" s="8" t="s">
        <v>21</v>
      </c>
      <c r="AE5" s="8"/>
      <c r="AF5" s="8" t="s">
        <v>20</v>
      </c>
      <c r="AG5" s="8" t="s">
        <v>21</v>
      </c>
      <c r="AH5" s="8"/>
      <c r="AI5" s="8" t="s">
        <v>20</v>
      </c>
      <c r="AJ5" s="8" t="s">
        <v>21</v>
      </c>
      <c r="AK5" s="8"/>
      <c r="AL5" s="8" t="s">
        <v>20</v>
      </c>
      <c r="AM5" s="8" t="s">
        <v>21</v>
      </c>
    </row>
    <row r="6" ht="32.25" customHeight="1">
      <c r="A6" s="1"/>
      <c r="B6" s="10" t="s">
        <v>32</v>
      </c>
      <c r="C6" s="11" t="s">
        <v>34</v>
      </c>
      <c r="D6" s="12" t="s">
        <v>36</v>
      </c>
      <c r="E6" s="13" t="s">
        <v>25</v>
      </c>
      <c r="F6" s="13" t="s">
        <v>30</v>
      </c>
      <c r="G6" s="13">
        <v>2.0</v>
      </c>
      <c r="H6" s="16">
        <v>2.0</v>
      </c>
      <c r="I6" s="16">
        <v>0.0</v>
      </c>
      <c r="J6" s="17"/>
      <c r="K6" s="16">
        <v>0.0</v>
      </c>
      <c r="L6" s="16">
        <v>0.0</v>
      </c>
      <c r="M6" s="17"/>
      <c r="N6" s="16">
        <v>0.0</v>
      </c>
      <c r="O6" s="16">
        <v>0.0</v>
      </c>
      <c r="P6" s="17"/>
      <c r="Q6" s="16">
        <v>0.0</v>
      </c>
      <c r="R6" s="16">
        <v>0.0</v>
      </c>
      <c r="S6" s="17"/>
      <c r="T6" s="16">
        <v>0.0</v>
      </c>
      <c r="U6" s="16">
        <v>0.0</v>
      </c>
      <c r="V6" s="17"/>
      <c r="W6" s="16">
        <v>0.0</v>
      </c>
      <c r="X6" s="16">
        <v>0.0</v>
      </c>
      <c r="Y6" s="17"/>
      <c r="Z6" s="16">
        <v>0.0</v>
      </c>
      <c r="AA6" s="16">
        <v>0.0</v>
      </c>
      <c r="AB6" s="17"/>
      <c r="AC6" s="16">
        <v>0.0</v>
      </c>
      <c r="AD6" s="16">
        <v>0.0</v>
      </c>
      <c r="AE6" s="17"/>
      <c r="AF6" s="16">
        <v>0.0</v>
      </c>
      <c r="AG6" s="16">
        <v>0.0</v>
      </c>
      <c r="AH6" s="17"/>
      <c r="AI6" s="16">
        <v>0.0</v>
      </c>
      <c r="AJ6" s="16">
        <v>0.0</v>
      </c>
      <c r="AK6" s="17"/>
      <c r="AL6" s="18">
        <f t="shared" ref="AL6:AL17" si="1">H6+K6+N6+Q6+T6+W6+Z6+AC6+AF6+AI6</f>
        <v>2</v>
      </c>
      <c r="AM6" s="18">
        <f t="shared" ref="AM6:AM17" si="2">G6-AL6</f>
        <v>0</v>
      </c>
    </row>
    <row r="7" ht="32.25" customHeight="1">
      <c r="A7" s="1"/>
      <c r="B7" s="19"/>
      <c r="C7" s="19"/>
      <c r="D7" s="12" t="s">
        <v>37</v>
      </c>
      <c r="E7" s="13" t="s">
        <v>25</v>
      </c>
      <c r="F7" s="13" t="s">
        <v>30</v>
      </c>
      <c r="G7" s="13">
        <v>3.0</v>
      </c>
      <c r="H7" s="16">
        <v>1.0</v>
      </c>
      <c r="I7" s="16">
        <v>2.0</v>
      </c>
      <c r="J7" s="17"/>
      <c r="K7" s="16">
        <v>2.0</v>
      </c>
      <c r="L7" s="16">
        <v>0.0</v>
      </c>
      <c r="M7" s="17"/>
      <c r="N7" s="16">
        <v>0.0</v>
      </c>
      <c r="O7" s="16">
        <v>0.0</v>
      </c>
      <c r="P7" s="17"/>
      <c r="Q7" s="16">
        <v>0.0</v>
      </c>
      <c r="R7" s="16">
        <v>0.0</v>
      </c>
      <c r="S7" s="17"/>
      <c r="T7" s="16">
        <v>0.0</v>
      </c>
      <c r="U7" s="16">
        <v>0.0</v>
      </c>
      <c r="V7" s="17"/>
      <c r="W7" s="16">
        <v>0.0</v>
      </c>
      <c r="X7" s="16">
        <v>0.0</v>
      </c>
      <c r="Y7" s="17"/>
      <c r="Z7" s="16">
        <v>0.0</v>
      </c>
      <c r="AA7" s="16">
        <v>0.0</v>
      </c>
      <c r="AB7" s="17"/>
      <c r="AC7" s="16">
        <v>0.0</v>
      </c>
      <c r="AD7" s="16">
        <v>0.0</v>
      </c>
      <c r="AE7" s="17"/>
      <c r="AF7" s="16">
        <v>0.0</v>
      </c>
      <c r="AG7" s="16">
        <v>0.0</v>
      </c>
      <c r="AH7" s="17"/>
      <c r="AI7" s="16">
        <v>0.0</v>
      </c>
      <c r="AJ7" s="16">
        <v>0.0</v>
      </c>
      <c r="AK7" s="17"/>
      <c r="AL7" s="18">
        <f t="shared" si="1"/>
        <v>3</v>
      </c>
      <c r="AM7" s="18">
        <f t="shared" si="2"/>
        <v>0</v>
      </c>
    </row>
    <row r="8" ht="32.25" customHeight="1">
      <c r="A8" s="1"/>
      <c r="B8" s="20"/>
      <c r="C8" s="20"/>
      <c r="D8" s="12" t="s">
        <v>41</v>
      </c>
      <c r="E8" s="13" t="s">
        <v>25</v>
      </c>
      <c r="F8" s="13" t="s">
        <v>30</v>
      </c>
      <c r="G8" s="13">
        <v>2.0</v>
      </c>
      <c r="H8" s="16">
        <v>0.0</v>
      </c>
      <c r="I8" s="16">
        <v>2.0</v>
      </c>
      <c r="J8" s="17"/>
      <c r="K8" s="16">
        <v>2.0</v>
      </c>
      <c r="L8" s="16">
        <v>0.0</v>
      </c>
      <c r="M8" s="17"/>
      <c r="N8" s="16">
        <v>0.0</v>
      </c>
      <c r="O8" s="16">
        <v>0.0</v>
      </c>
      <c r="P8" s="17"/>
      <c r="Q8" s="16">
        <v>0.0</v>
      </c>
      <c r="R8" s="16">
        <v>0.0</v>
      </c>
      <c r="S8" s="17"/>
      <c r="T8" s="16">
        <v>0.0</v>
      </c>
      <c r="U8" s="16">
        <v>0.0</v>
      </c>
      <c r="V8" s="17"/>
      <c r="W8" s="16">
        <v>0.0</v>
      </c>
      <c r="X8" s="16">
        <v>0.0</v>
      </c>
      <c r="Y8" s="17"/>
      <c r="Z8" s="16">
        <v>0.0</v>
      </c>
      <c r="AA8" s="16">
        <v>0.0</v>
      </c>
      <c r="AB8" s="17"/>
      <c r="AC8" s="16">
        <v>0.0</v>
      </c>
      <c r="AD8" s="16">
        <v>0.0</v>
      </c>
      <c r="AE8" s="17"/>
      <c r="AF8" s="16">
        <v>0.0</v>
      </c>
      <c r="AG8" s="16">
        <v>0.0</v>
      </c>
      <c r="AH8" s="17"/>
      <c r="AI8" s="16">
        <v>0.0</v>
      </c>
      <c r="AJ8" s="16">
        <v>0.0</v>
      </c>
      <c r="AK8" s="17"/>
      <c r="AL8" s="18">
        <f t="shared" si="1"/>
        <v>2</v>
      </c>
      <c r="AM8" s="18">
        <f t="shared" si="2"/>
        <v>0</v>
      </c>
    </row>
    <row r="9" ht="32.25" customHeight="1">
      <c r="A9" s="1"/>
      <c r="B9" s="10" t="s">
        <v>45</v>
      </c>
      <c r="C9" s="11" t="s">
        <v>47</v>
      </c>
      <c r="D9" s="12" t="s">
        <v>48</v>
      </c>
      <c r="E9" s="13" t="s">
        <v>25</v>
      </c>
      <c r="F9" s="13" t="s">
        <v>30</v>
      </c>
      <c r="G9" s="13">
        <v>3.0</v>
      </c>
      <c r="H9" s="16">
        <v>0.0</v>
      </c>
      <c r="I9" s="16">
        <v>3.0</v>
      </c>
      <c r="J9" s="17"/>
      <c r="K9" s="16">
        <v>0.0</v>
      </c>
      <c r="L9" s="16">
        <v>3.0</v>
      </c>
      <c r="M9" s="17"/>
      <c r="N9" s="16">
        <v>3.0</v>
      </c>
      <c r="O9" s="16">
        <v>0.0</v>
      </c>
      <c r="P9" s="17"/>
      <c r="Q9" s="16">
        <v>0.0</v>
      </c>
      <c r="R9" s="16">
        <v>0.0</v>
      </c>
      <c r="S9" s="17"/>
      <c r="T9" s="16">
        <v>0.0</v>
      </c>
      <c r="U9" s="16">
        <v>0.0</v>
      </c>
      <c r="V9" s="17"/>
      <c r="W9" s="16">
        <v>0.0</v>
      </c>
      <c r="X9" s="16">
        <v>0.0</v>
      </c>
      <c r="Y9" s="17"/>
      <c r="Z9" s="16">
        <v>0.0</v>
      </c>
      <c r="AA9" s="16">
        <v>0.0</v>
      </c>
      <c r="AB9" s="17"/>
      <c r="AC9" s="16">
        <v>0.0</v>
      </c>
      <c r="AD9" s="16">
        <v>0.0</v>
      </c>
      <c r="AE9" s="17"/>
      <c r="AF9" s="16">
        <v>0.0</v>
      </c>
      <c r="AG9" s="16">
        <v>0.0</v>
      </c>
      <c r="AH9" s="17"/>
      <c r="AI9" s="16">
        <v>0.0</v>
      </c>
      <c r="AJ9" s="16">
        <v>0.0</v>
      </c>
      <c r="AK9" s="17"/>
      <c r="AL9" s="18">
        <f t="shared" si="1"/>
        <v>3</v>
      </c>
      <c r="AM9" s="18">
        <f t="shared" si="2"/>
        <v>0</v>
      </c>
    </row>
    <row r="10" ht="32.25" customHeight="1">
      <c r="A10" s="1"/>
      <c r="B10" s="19"/>
      <c r="C10" s="19"/>
      <c r="D10" s="12" t="s">
        <v>57</v>
      </c>
      <c r="E10" s="13" t="s">
        <v>25</v>
      </c>
      <c r="F10" s="13" t="s">
        <v>30</v>
      </c>
      <c r="G10" s="13">
        <v>5.0</v>
      </c>
      <c r="H10" s="16">
        <v>0.0</v>
      </c>
      <c r="I10" s="16">
        <v>5.0</v>
      </c>
      <c r="J10" s="17"/>
      <c r="K10" s="16">
        <v>0.0</v>
      </c>
      <c r="L10" s="16">
        <v>5.0</v>
      </c>
      <c r="M10" s="17"/>
      <c r="N10" s="16">
        <v>2.0</v>
      </c>
      <c r="O10" s="16">
        <v>3.0</v>
      </c>
      <c r="P10" s="17"/>
      <c r="Q10" s="16">
        <v>3.0</v>
      </c>
      <c r="R10" s="16">
        <v>0.0</v>
      </c>
      <c r="S10" s="17"/>
      <c r="T10" s="16">
        <v>0.0</v>
      </c>
      <c r="U10" s="16">
        <v>0.0</v>
      </c>
      <c r="V10" s="17"/>
      <c r="W10" s="16">
        <v>0.0</v>
      </c>
      <c r="X10" s="16">
        <v>0.0</v>
      </c>
      <c r="Y10" s="17"/>
      <c r="Z10" s="16">
        <v>0.0</v>
      </c>
      <c r="AA10" s="16">
        <v>0.0</v>
      </c>
      <c r="AB10" s="17"/>
      <c r="AC10" s="16">
        <v>0.0</v>
      </c>
      <c r="AD10" s="16">
        <v>0.0</v>
      </c>
      <c r="AE10" s="17"/>
      <c r="AF10" s="16">
        <v>0.0</v>
      </c>
      <c r="AG10" s="16">
        <v>0.0</v>
      </c>
      <c r="AH10" s="17"/>
      <c r="AI10" s="16">
        <v>0.0</v>
      </c>
      <c r="AJ10" s="16">
        <v>0.0</v>
      </c>
      <c r="AK10" s="17"/>
      <c r="AL10" s="18">
        <f t="shared" si="1"/>
        <v>5</v>
      </c>
      <c r="AM10" s="18">
        <f t="shared" si="2"/>
        <v>0</v>
      </c>
    </row>
    <row r="11" ht="32.25" customHeight="1">
      <c r="A11" s="1"/>
      <c r="B11" s="20"/>
      <c r="C11" s="20"/>
      <c r="D11" s="12" t="s">
        <v>61</v>
      </c>
      <c r="E11" s="13" t="s">
        <v>25</v>
      </c>
      <c r="F11" s="13" t="s">
        <v>30</v>
      </c>
      <c r="G11" s="13">
        <v>3.0</v>
      </c>
      <c r="H11" s="16">
        <v>0.0</v>
      </c>
      <c r="I11" s="16">
        <v>3.0</v>
      </c>
      <c r="J11" s="17"/>
      <c r="K11" s="16">
        <v>0.0</v>
      </c>
      <c r="L11" s="16">
        <v>3.0</v>
      </c>
      <c r="M11" s="17"/>
      <c r="N11" s="16">
        <v>0.0</v>
      </c>
      <c r="O11" s="16">
        <v>3.0</v>
      </c>
      <c r="P11" s="17"/>
      <c r="Q11" s="16">
        <v>3.0</v>
      </c>
      <c r="R11" s="16">
        <v>0.0</v>
      </c>
      <c r="S11" s="17"/>
      <c r="T11" s="16">
        <v>0.0</v>
      </c>
      <c r="U11" s="16">
        <v>0.0</v>
      </c>
      <c r="V11" s="17"/>
      <c r="W11" s="16">
        <v>0.0</v>
      </c>
      <c r="X11" s="16">
        <v>0.0</v>
      </c>
      <c r="Y11" s="17"/>
      <c r="Z11" s="16">
        <v>0.0</v>
      </c>
      <c r="AA11" s="16">
        <v>0.0</v>
      </c>
      <c r="AB11" s="17"/>
      <c r="AC11" s="16">
        <v>0.0</v>
      </c>
      <c r="AD11" s="16">
        <v>0.0</v>
      </c>
      <c r="AE11" s="17"/>
      <c r="AF11" s="16">
        <v>0.0</v>
      </c>
      <c r="AG11" s="16">
        <v>0.0</v>
      </c>
      <c r="AH11" s="17"/>
      <c r="AI11" s="16">
        <v>0.0</v>
      </c>
      <c r="AJ11" s="16">
        <v>0.0</v>
      </c>
      <c r="AK11" s="17"/>
      <c r="AL11" s="18">
        <f t="shared" si="1"/>
        <v>3</v>
      </c>
      <c r="AM11" s="18">
        <f t="shared" si="2"/>
        <v>0</v>
      </c>
    </row>
    <row r="12" ht="21.0" customHeight="1">
      <c r="A12" s="1"/>
      <c r="B12" s="10" t="s">
        <v>66</v>
      </c>
      <c r="C12" s="11" t="s">
        <v>69</v>
      </c>
      <c r="D12" s="12" t="s">
        <v>71</v>
      </c>
      <c r="E12" s="13" t="s">
        <v>25</v>
      </c>
      <c r="F12" s="13" t="s">
        <v>30</v>
      </c>
      <c r="G12" s="13">
        <v>2.0</v>
      </c>
      <c r="H12" s="16">
        <v>0.0</v>
      </c>
      <c r="I12" s="16">
        <v>2.0</v>
      </c>
      <c r="J12" s="17"/>
      <c r="K12" s="16">
        <v>0.0</v>
      </c>
      <c r="L12" s="16">
        <v>2.0</v>
      </c>
      <c r="M12" s="17"/>
      <c r="N12" s="16">
        <v>0.0</v>
      </c>
      <c r="O12" s="16">
        <v>2.0</v>
      </c>
      <c r="P12" s="17"/>
      <c r="Q12" s="16">
        <v>0.0</v>
      </c>
      <c r="R12" s="16">
        <v>2.0</v>
      </c>
      <c r="S12" s="17"/>
      <c r="T12" s="16">
        <v>2.0</v>
      </c>
      <c r="U12" s="16">
        <v>0.0</v>
      </c>
      <c r="V12" s="17"/>
      <c r="W12" s="16">
        <v>0.0</v>
      </c>
      <c r="X12" s="16">
        <v>0.0</v>
      </c>
      <c r="Y12" s="17"/>
      <c r="Z12" s="16">
        <v>0.0</v>
      </c>
      <c r="AA12" s="16">
        <v>0.0</v>
      </c>
      <c r="AB12" s="17"/>
      <c r="AC12" s="16">
        <v>0.0</v>
      </c>
      <c r="AD12" s="16">
        <v>0.0</v>
      </c>
      <c r="AE12" s="17"/>
      <c r="AF12" s="16">
        <v>0.0</v>
      </c>
      <c r="AG12" s="16">
        <v>0.0</v>
      </c>
      <c r="AH12" s="17"/>
      <c r="AI12" s="16">
        <v>0.0</v>
      </c>
      <c r="AJ12" s="16">
        <v>0.0</v>
      </c>
      <c r="AK12" s="17"/>
      <c r="AL12" s="18">
        <f t="shared" si="1"/>
        <v>2</v>
      </c>
      <c r="AM12" s="18">
        <f t="shared" si="2"/>
        <v>0</v>
      </c>
    </row>
    <row r="13" ht="32.25" customHeight="1">
      <c r="A13" s="1"/>
      <c r="B13" s="19"/>
      <c r="C13" s="19"/>
      <c r="D13" s="12" t="s">
        <v>75</v>
      </c>
      <c r="E13" s="13" t="s">
        <v>25</v>
      </c>
      <c r="F13" s="13" t="s">
        <v>30</v>
      </c>
      <c r="G13" s="13">
        <v>5.0</v>
      </c>
      <c r="H13" s="16">
        <v>0.0</v>
      </c>
      <c r="I13" s="16">
        <v>5.0</v>
      </c>
      <c r="J13" s="17"/>
      <c r="K13" s="16">
        <v>0.0</v>
      </c>
      <c r="L13" s="16">
        <v>5.0</v>
      </c>
      <c r="M13" s="17"/>
      <c r="N13" s="16">
        <v>0.0</v>
      </c>
      <c r="O13" s="16">
        <v>5.0</v>
      </c>
      <c r="P13" s="17"/>
      <c r="Q13" s="16">
        <v>0.0</v>
      </c>
      <c r="R13" s="16">
        <v>5.0</v>
      </c>
      <c r="S13" s="17"/>
      <c r="T13" s="16">
        <v>1.0</v>
      </c>
      <c r="U13" s="16">
        <v>4.0</v>
      </c>
      <c r="V13" s="17"/>
      <c r="W13" s="16">
        <v>3.0</v>
      </c>
      <c r="X13" s="16">
        <v>1.0</v>
      </c>
      <c r="Y13" s="17"/>
      <c r="Z13" s="16">
        <v>1.0</v>
      </c>
      <c r="AA13" s="16">
        <v>0.0</v>
      </c>
      <c r="AB13" s="17"/>
      <c r="AC13" s="16">
        <v>0.0</v>
      </c>
      <c r="AD13" s="16">
        <v>0.0</v>
      </c>
      <c r="AE13" s="17"/>
      <c r="AF13" s="16">
        <v>0.0</v>
      </c>
      <c r="AG13" s="16">
        <v>0.0</v>
      </c>
      <c r="AH13" s="17"/>
      <c r="AI13" s="16">
        <v>0.0</v>
      </c>
      <c r="AJ13" s="16">
        <v>0.0</v>
      </c>
      <c r="AK13" s="17"/>
      <c r="AL13" s="18">
        <f t="shared" si="1"/>
        <v>5</v>
      </c>
      <c r="AM13" s="18">
        <f t="shared" si="2"/>
        <v>0</v>
      </c>
    </row>
    <row r="14" ht="32.25" customHeight="1">
      <c r="A14" s="1"/>
      <c r="B14" s="20"/>
      <c r="C14" s="20"/>
      <c r="D14" s="12" t="s">
        <v>82</v>
      </c>
      <c r="E14" s="13" t="s">
        <v>25</v>
      </c>
      <c r="F14" s="13" t="s">
        <v>30</v>
      </c>
      <c r="G14" s="13">
        <v>2.0</v>
      </c>
      <c r="H14" s="16">
        <v>0.0</v>
      </c>
      <c r="I14" s="16">
        <v>2.0</v>
      </c>
      <c r="J14" s="17"/>
      <c r="K14" s="16">
        <v>0.0</v>
      </c>
      <c r="L14" s="16">
        <v>2.0</v>
      </c>
      <c r="M14" s="17"/>
      <c r="N14" s="16">
        <v>0.0</v>
      </c>
      <c r="O14" s="16">
        <v>2.0</v>
      </c>
      <c r="P14" s="17"/>
      <c r="Q14" s="16">
        <v>0.0</v>
      </c>
      <c r="R14" s="16">
        <v>2.0</v>
      </c>
      <c r="S14" s="17"/>
      <c r="T14" s="16">
        <v>0.0</v>
      </c>
      <c r="U14" s="16">
        <v>2.0</v>
      </c>
      <c r="V14" s="17"/>
      <c r="W14" s="16">
        <v>0.0</v>
      </c>
      <c r="X14" s="16">
        <v>2.0</v>
      </c>
      <c r="Y14" s="17"/>
      <c r="Z14" s="16">
        <v>2.0</v>
      </c>
      <c r="AA14" s="16">
        <v>0.0</v>
      </c>
      <c r="AB14" s="17"/>
      <c r="AC14" s="16">
        <v>0.0</v>
      </c>
      <c r="AD14" s="16">
        <v>0.0</v>
      </c>
      <c r="AE14" s="17"/>
      <c r="AF14" s="16">
        <v>0.0</v>
      </c>
      <c r="AG14" s="16">
        <v>0.0</v>
      </c>
      <c r="AH14" s="17"/>
      <c r="AI14" s="16">
        <v>0.0</v>
      </c>
      <c r="AJ14" s="16">
        <v>0.0</v>
      </c>
      <c r="AK14" s="17"/>
      <c r="AL14" s="18">
        <f t="shared" si="1"/>
        <v>2</v>
      </c>
      <c r="AM14" s="18">
        <f t="shared" si="2"/>
        <v>0</v>
      </c>
    </row>
    <row r="15" ht="32.25" customHeight="1">
      <c r="A15" s="1"/>
      <c r="B15" s="10" t="s">
        <v>86</v>
      </c>
      <c r="C15" s="11" t="s">
        <v>89</v>
      </c>
      <c r="D15" s="12" t="s">
        <v>92</v>
      </c>
      <c r="E15" s="13" t="s">
        <v>25</v>
      </c>
      <c r="F15" s="13" t="s">
        <v>30</v>
      </c>
      <c r="G15" s="13">
        <v>2.0</v>
      </c>
      <c r="H15" s="16">
        <v>0.0</v>
      </c>
      <c r="I15" s="16">
        <v>2.0</v>
      </c>
      <c r="J15" s="17"/>
      <c r="K15" s="16">
        <v>0.0</v>
      </c>
      <c r="L15" s="16">
        <v>2.0</v>
      </c>
      <c r="M15" s="17"/>
      <c r="N15" s="16">
        <v>0.0</v>
      </c>
      <c r="O15" s="16">
        <v>2.0</v>
      </c>
      <c r="P15" s="17"/>
      <c r="Q15" s="16">
        <v>0.0</v>
      </c>
      <c r="R15" s="16">
        <v>2.0</v>
      </c>
      <c r="S15" s="17"/>
      <c r="T15" s="16">
        <v>0.0</v>
      </c>
      <c r="U15" s="16">
        <v>2.0</v>
      </c>
      <c r="V15" s="17"/>
      <c r="W15" s="16">
        <v>0.0</v>
      </c>
      <c r="X15" s="16">
        <v>2.0</v>
      </c>
      <c r="Y15" s="17"/>
      <c r="Z15" s="16">
        <v>0.0</v>
      </c>
      <c r="AA15" s="16">
        <v>2.0</v>
      </c>
      <c r="AB15" s="17"/>
      <c r="AC15" s="16">
        <v>2.0</v>
      </c>
      <c r="AD15" s="16">
        <v>0.0</v>
      </c>
      <c r="AE15" s="17"/>
      <c r="AF15" s="16">
        <v>0.0</v>
      </c>
      <c r="AG15" s="16">
        <v>0.0</v>
      </c>
      <c r="AH15" s="17"/>
      <c r="AI15" s="16">
        <v>0.0</v>
      </c>
      <c r="AJ15" s="16">
        <v>0.0</v>
      </c>
      <c r="AK15" s="17"/>
      <c r="AL15" s="18">
        <f t="shared" si="1"/>
        <v>2</v>
      </c>
      <c r="AM15" s="18">
        <f t="shared" si="2"/>
        <v>0</v>
      </c>
    </row>
    <row r="16" ht="32.25" customHeight="1">
      <c r="A16" s="1"/>
      <c r="B16" s="19"/>
      <c r="C16" s="19"/>
      <c r="D16" s="12" t="s">
        <v>95</v>
      </c>
      <c r="E16" s="13" t="s">
        <v>25</v>
      </c>
      <c r="F16" s="13" t="s">
        <v>30</v>
      </c>
      <c r="G16" s="13">
        <v>3.0</v>
      </c>
      <c r="H16" s="16">
        <v>0.0</v>
      </c>
      <c r="I16" s="16">
        <v>3.0</v>
      </c>
      <c r="J16" s="17"/>
      <c r="K16" s="16">
        <v>0.0</v>
      </c>
      <c r="L16" s="16">
        <v>3.0</v>
      </c>
      <c r="M16" s="17"/>
      <c r="N16" s="16">
        <v>0.0</v>
      </c>
      <c r="O16" s="16">
        <v>3.0</v>
      </c>
      <c r="P16" s="17"/>
      <c r="Q16" s="16">
        <v>0.0</v>
      </c>
      <c r="R16" s="16">
        <v>3.0</v>
      </c>
      <c r="S16" s="17"/>
      <c r="T16" s="16">
        <v>0.0</v>
      </c>
      <c r="U16" s="16">
        <v>3.0</v>
      </c>
      <c r="V16" s="17"/>
      <c r="W16" s="16">
        <v>0.0</v>
      </c>
      <c r="X16" s="16">
        <v>3.0</v>
      </c>
      <c r="Y16" s="17"/>
      <c r="Z16" s="16">
        <v>0.0</v>
      </c>
      <c r="AA16" s="16">
        <v>3.0</v>
      </c>
      <c r="AB16" s="17"/>
      <c r="AC16" s="16">
        <v>1.0</v>
      </c>
      <c r="AD16" s="16">
        <v>2.0</v>
      </c>
      <c r="AE16" s="17"/>
      <c r="AF16" s="16">
        <v>2.0</v>
      </c>
      <c r="AG16" s="16">
        <v>0.0</v>
      </c>
      <c r="AH16" s="17"/>
      <c r="AI16" s="16">
        <v>0.0</v>
      </c>
      <c r="AJ16" s="16">
        <v>0.0</v>
      </c>
      <c r="AK16" s="17"/>
      <c r="AL16" s="18">
        <f t="shared" si="1"/>
        <v>3</v>
      </c>
      <c r="AM16" s="18">
        <f t="shared" si="2"/>
        <v>0</v>
      </c>
    </row>
    <row r="17" ht="32.25" customHeight="1">
      <c r="A17" s="1"/>
      <c r="B17" s="20"/>
      <c r="C17" s="20"/>
      <c r="D17" s="12" t="s">
        <v>100</v>
      </c>
      <c r="E17" s="13" t="s">
        <v>25</v>
      </c>
      <c r="F17" s="13" t="s">
        <v>30</v>
      </c>
      <c r="G17" s="13">
        <v>2.0</v>
      </c>
      <c r="H17" s="16">
        <v>0.0</v>
      </c>
      <c r="I17" s="16">
        <v>2.0</v>
      </c>
      <c r="J17" s="17"/>
      <c r="K17" s="16">
        <v>0.0</v>
      </c>
      <c r="L17" s="16">
        <v>2.0</v>
      </c>
      <c r="M17" s="17"/>
      <c r="N17" s="16">
        <v>0.0</v>
      </c>
      <c r="O17" s="16">
        <v>2.0</v>
      </c>
      <c r="P17" s="17"/>
      <c r="Q17" s="16">
        <v>0.0</v>
      </c>
      <c r="R17" s="16">
        <v>2.0</v>
      </c>
      <c r="S17" s="17"/>
      <c r="T17" s="16">
        <v>0.0</v>
      </c>
      <c r="U17" s="16">
        <v>2.0</v>
      </c>
      <c r="V17" s="17"/>
      <c r="W17" s="16">
        <v>0.0</v>
      </c>
      <c r="X17" s="16">
        <v>2.0</v>
      </c>
      <c r="Y17" s="17"/>
      <c r="Z17" s="16">
        <v>0.0</v>
      </c>
      <c r="AA17" s="16">
        <v>2.0</v>
      </c>
      <c r="AB17" s="17"/>
      <c r="AC17" s="16">
        <v>0.0</v>
      </c>
      <c r="AD17" s="16">
        <v>2.0</v>
      </c>
      <c r="AE17" s="17"/>
      <c r="AF17" s="16">
        <v>0.0</v>
      </c>
      <c r="AG17" s="16">
        <v>2.0</v>
      </c>
      <c r="AH17" s="17"/>
      <c r="AI17" s="16">
        <v>2.0</v>
      </c>
      <c r="AJ17" s="16">
        <v>0.0</v>
      </c>
      <c r="AK17" s="17"/>
      <c r="AL17" s="18">
        <f t="shared" si="1"/>
        <v>2</v>
      </c>
      <c r="AM17" s="18">
        <f t="shared" si="2"/>
        <v>0</v>
      </c>
    </row>
    <row r="18">
      <c r="A18" s="1"/>
      <c r="B18" s="1"/>
      <c r="C18" s="1"/>
      <c r="D18" s="1"/>
      <c r="E18" s="21"/>
      <c r="F18" s="21"/>
      <c r="G18" s="22" t="s">
        <v>104</v>
      </c>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row>
  </sheetData>
  <mergeCells count="19">
    <mergeCell ref="AC4:AD4"/>
    <mergeCell ref="AF4:AG4"/>
    <mergeCell ref="AI4:AJ4"/>
    <mergeCell ref="B6:B8"/>
    <mergeCell ref="C6:C8"/>
    <mergeCell ref="C9:C11"/>
    <mergeCell ref="B9:B11"/>
    <mergeCell ref="C12:C14"/>
    <mergeCell ref="B12:B14"/>
    <mergeCell ref="C15:C17"/>
    <mergeCell ref="B15:B17"/>
    <mergeCell ref="H4:I4"/>
    <mergeCell ref="K4:L4"/>
    <mergeCell ref="N4:O4"/>
    <mergeCell ref="Q4:R4"/>
    <mergeCell ref="T4:U4"/>
    <mergeCell ref="W4:X4"/>
    <mergeCell ref="Z4:AA4"/>
    <mergeCell ref="AL4:AM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5"/>
    <col customWidth="1" min="2" max="2" width="14.38"/>
    <col customWidth="1" min="3" max="3" width="29.75"/>
    <col customWidth="1" min="4" max="4" width="30.7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row>
    <row r="5">
      <c r="A5" s="1"/>
      <c r="B5" s="7" t="s">
        <v>14</v>
      </c>
      <c r="C5" s="7" t="s">
        <v>15</v>
      </c>
      <c r="D5" s="7" t="s">
        <v>16</v>
      </c>
      <c r="E5" s="7" t="s">
        <v>17</v>
      </c>
      <c r="F5" s="7" t="s">
        <v>18</v>
      </c>
      <c r="G5" s="7" t="s">
        <v>19</v>
      </c>
      <c r="H5" s="8" t="s">
        <v>20</v>
      </c>
      <c r="I5" s="8" t="s">
        <v>21</v>
      </c>
      <c r="J5" s="8"/>
      <c r="K5" s="8" t="s">
        <v>20</v>
      </c>
      <c r="L5" s="8" t="s">
        <v>21</v>
      </c>
      <c r="M5" s="8"/>
      <c r="N5" s="8" t="s">
        <v>20</v>
      </c>
      <c r="O5" s="8" t="s">
        <v>21</v>
      </c>
      <c r="P5" s="8"/>
      <c r="Q5" s="8" t="s">
        <v>20</v>
      </c>
      <c r="R5" s="8" t="s">
        <v>21</v>
      </c>
      <c r="S5" s="8"/>
      <c r="T5" s="8" t="s">
        <v>20</v>
      </c>
      <c r="U5" s="8" t="s">
        <v>21</v>
      </c>
      <c r="V5" s="8"/>
      <c r="W5" s="8" t="s">
        <v>20</v>
      </c>
      <c r="X5" s="8" t="s">
        <v>21</v>
      </c>
      <c r="Y5" s="8"/>
      <c r="Z5" s="8" t="s">
        <v>20</v>
      </c>
      <c r="AA5" s="8" t="s">
        <v>21</v>
      </c>
      <c r="AB5" s="8"/>
      <c r="AC5" s="8" t="s">
        <v>20</v>
      </c>
      <c r="AD5" s="8" t="s">
        <v>21</v>
      </c>
      <c r="AE5" s="8"/>
      <c r="AF5" s="8" t="s">
        <v>20</v>
      </c>
      <c r="AG5" s="8" t="s">
        <v>21</v>
      </c>
      <c r="AH5" s="8"/>
      <c r="AI5" s="8" t="s">
        <v>20</v>
      </c>
      <c r="AJ5" s="8" t="s">
        <v>21</v>
      </c>
      <c r="AK5" s="8"/>
      <c r="AL5" s="8" t="s">
        <v>20</v>
      </c>
      <c r="AM5" s="8" t="s">
        <v>21</v>
      </c>
    </row>
    <row r="6" ht="31.5" customHeight="1">
      <c r="A6" s="1"/>
      <c r="B6" s="10" t="s">
        <v>31</v>
      </c>
      <c r="C6" s="11" t="s">
        <v>33</v>
      </c>
      <c r="D6" s="12" t="s">
        <v>35</v>
      </c>
      <c r="E6" s="13" t="s">
        <v>25</v>
      </c>
      <c r="F6" s="13" t="s">
        <v>30</v>
      </c>
      <c r="G6" s="13">
        <v>2.0</v>
      </c>
      <c r="H6" s="16">
        <v>2.0</v>
      </c>
      <c r="I6" s="16">
        <v>0.0</v>
      </c>
      <c r="J6" s="17"/>
      <c r="K6" s="16">
        <v>0.0</v>
      </c>
      <c r="L6" s="16">
        <v>0.0</v>
      </c>
      <c r="M6" s="17"/>
      <c r="N6" s="16">
        <v>0.0</v>
      </c>
      <c r="O6" s="16">
        <v>0.0</v>
      </c>
      <c r="P6" s="17"/>
      <c r="Q6" s="16">
        <v>0.0</v>
      </c>
      <c r="R6" s="16">
        <v>0.0</v>
      </c>
      <c r="S6" s="17"/>
      <c r="T6" s="16">
        <v>0.0</v>
      </c>
      <c r="U6" s="16">
        <v>0.0</v>
      </c>
      <c r="V6" s="17"/>
      <c r="W6" s="16">
        <v>0.0</v>
      </c>
      <c r="X6" s="16">
        <v>0.0</v>
      </c>
      <c r="Y6" s="17"/>
      <c r="Z6" s="16">
        <v>0.0</v>
      </c>
      <c r="AA6" s="16">
        <v>0.0</v>
      </c>
      <c r="AB6" s="17"/>
      <c r="AC6" s="16">
        <v>0.0</v>
      </c>
      <c r="AD6" s="16">
        <v>0.0</v>
      </c>
      <c r="AE6" s="17"/>
      <c r="AF6" s="16">
        <v>0.0</v>
      </c>
      <c r="AG6" s="16">
        <v>0.0</v>
      </c>
      <c r="AH6" s="17"/>
      <c r="AI6" s="16">
        <v>0.0</v>
      </c>
      <c r="AJ6" s="16">
        <v>0.0</v>
      </c>
      <c r="AK6" s="17"/>
      <c r="AL6" s="18">
        <f t="shared" ref="AL6:AL17" si="1">H6+K6+N6+Q6+T6+W6+Z6+AC6+AF6+AI6</f>
        <v>2</v>
      </c>
      <c r="AM6" s="18">
        <f t="shared" ref="AM6:AM17" si="2">G6-AL6</f>
        <v>0</v>
      </c>
    </row>
    <row r="7" ht="31.5" customHeight="1">
      <c r="A7" s="1"/>
      <c r="B7" s="19"/>
      <c r="C7" s="19"/>
      <c r="D7" s="12" t="s">
        <v>38</v>
      </c>
      <c r="E7" s="13" t="s">
        <v>25</v>
      </c>
      <c r="F7" s="13" t="s">
        <v>30</v>
      </c>
      <c r="G7" s="13">
        <v>3.0</v>
      </c>
      <c r="H7" s="16">
        <v>2.0</v>
      </c>
      <c r="I7" s="16">
        <v>1.0</v>
      </c>
      <c r="J7" s="17"/>
      <c r="K7" s="16">
        <v>1.0</v>
      </c>
      <c r="L7" s="16">
        <v>0.0</v>
      </c>
      <c r="M7" s="17"/>
      <c r="N7" s="16">
        <v>0.0</v>
      </c>
      <c r="O7" s="16">
        <v>0.0</v>
      </c>
      <c r="P7" s="17"/>
      <c r="Q7" s="16">
        <v>0.0</v>
      </c>
      <c r="R7" s="16">
        <v>0.0</v>
      </c>
      <c r="S7" s="17"/>
      <c r="T7" s="16">
        <v>0.0</v>
      </c>
      <c r="U7" s="16">
        <v>0.0</v>
      </c>
      <c r="V7" s="17"/>
      <c r="W7" s="16">
        <v>0.0</v>
      </c>
      <c r="X7" s="16">
        <v>0.0</v>
      </c>
      <c r="Y7" s="17"/>
      <c r="Z7" s="16">
        <v>0.0</v>
      </c>
      <c r="AA7" s="16">
        <v>0.0</v>
      </c>
      <c r="AB7" s="17"/>
      <c r="AC7" s="16">
        <v>0.0</v>
      </c>
      <c r="AD7" s="16">
        <v>0.0</v>
      </c>
      <c r="AE7" s="17"/>
      <c r="AF7" s="16">
        <v>0.0</v>
      </c>
      <c r="AG7" s="16">
        <v>0.0</v>
      </c>
      <c r="AH7" s="17"/>
      <c r="AI7" s="16">
        <v>0.0</v>
      </c>
      <c r="AJ7" s="16">
        <v>0.0</v>
      </c>
      <c r="AK7" s="17"/>
      <c r="AL7" s="18">
        <f t="shared" si="1"/>
        <v>3</v>
      </c>
      <c r="AM7" s="18">
        <f t="shared" si="2"/>
        <v>0</v>
      </c>
    </row>
    <row r="8" ht="31.5" customHeight="1">
      <c r="A8" s="1"/>
      <c r="B8" s="20"/>
      <c r="C8" s="20"/>
      <c r="D8" s="12" t="s">
        <v>43</v>
      </c>
      <c r="E8" s="13" t="s">
        <v>25</v>
      </c>
      <c r="F8" s="13" t="s">
        <v>30</v>
      </c>
      <c r="G8" s="13">
        <v>2.0</v>
      </c>
      <c r="H8" s="16">
        <v>0.0</v>
      </c>
      <c r="I8" s="16">
        <v>2.0</v>
      </c>
      <c r="J8" s="17"/>
      <c r="K8" s="16">
        <v>2.0</v>
      </c>
      <c r="L8" s="16">
        <v>0.0</v>
      </c>
      <c r="M8" s="17"/>
      <c r="N8" s="16">
        <v>0.0</v>
      </c>
      <c r="O8" s="16">
        <v>0.0</v>
      </c>
      <c r="P8" s="17"/>
      <c r="Q8" s="16">
        <v>0.0</v>
      </c>
      <c r="R8" s="16">
        <v>0.0</v>
      </c>
      <c r="S8" s="17"/>
      <c r="T8" s="16">
        <v>0.0</v>
      </c>
      <c r="U8" s="16">
        <v>0.0</v>
      </c>
      <c r="V8" s="17"/>
      <c r="W8" s="16">
        <v>0.0</v>
      </c>
      <c r="X8" s="16">
        <v>0.0</v>
      </c>
      <c r="Y8" s="17"/>
      <c r="Z8" s="16">
        <v>0.0</v>
      </c>
      <c r="AA8" s="16">
        <v>0.0</v>
      </c>
      <c r="AB8" s="17"/>
      <c r="AC8" s="16">
        <v>0.0</v>
      </c>
      <c r="AD8" s="16">
        <v>0.0</v>
      </c>
      <c r="AE8" s="17"/>
      <c r="AF8" s="16">
        <v>0.0</v>
      </c>
      <c r="AG8" s="16">
        <v>0.0</v>
      </c>
      <c r="AH8" s="17"/>
      <c r="AI8" s="16">
        <v>0.0</v>
      </c>
      <c r="AJ8" s="16">
        <v>0.0</v>
      </c>
      <c r="AK8" s="17"/>
      <c r="AL8" s="18">
        <f t="shared" si="1"/>
        <v>2</v>
      </c>
      <c r="AM8" s="18">
        <f t="shared" si="2"/>
        <v>0</v>
      </c>
    </row>
    <row r="9" ht="31.5" customHeight="1">
      <c r="A9" s="1"/>
      <c r="B9" s="10" t="s">
        <v>50</v>
      </c>
      <c r="C9" s="11" t="s">
        <v>53</v>
      </c>
      <c r="D9" s="12" t="s">
        <v>55</v>
      </c>
      <c r="E9" s="13" t="s">
        <v>25</v>
      </c>
      <c r="F9" s="13" t="s">
        <v>30</v>
      </c>
      <c r="G9" s="13">
        <v>2.0</v>
      </c>
      <c r="H9" s="16">
        <v>0.0</v>
      </c>
      <c r="I9" s="16">
        <v>2.0</v>
      </c>
      <c r="J9" s="17"/>
      <c r="K9" s="16">
        <v>1.0</v>
      </c>
      <c r="L9" s="16">
        <v>1.0</v>
      </c>
      <c r="M9" s="17"/>
      <c r="N9" s="16">
        <v>1.0</v>
      </c>
      <c r="O9" s="16">
        <v>0.0</v>
      </c>
      <c r="P9" s="17"/>
      <c r="Q9" s="16">
        <v>0.0</v>
      </c>
      <c r="R9" s="16">
        <v>0.0</v>
      </c>
      <c r="S9" s="17"/>
      <c r="T9" s="16">
        <v>0.0</v>
      </c>
      <c r="U9" s="16">
        <v>0.0</v>
      </c>
      <c r="V9" s="17"/>
      <c r="W9" s="16">
        <v>0.0</v>
      </c>
      <c r="X9" s="16">
        <v>0.0</v>
      </c>
      <c r="Y9" s="17"/>
      <c r="Z9" s="16">
        <v>0.0</v>
      </c>
      <c r="AA9" s="16">
        <v>0.0</v>
      </c>
      <c r="AB9" s="17"/>
      <c r="AC9" s="16">
        <v>0.0</v>
      </c>
      <c r="AD9" s="16">
        <v>0.0</v>
      </c>
      <c r="AE9" s="17"/>
      <c r="AF9" s="16">
        <v>0.0</v>
      </c>
      <c r="AG9" s="16">
        <v>0.0</v>
      </c>
      <c r="AH9" s="17"/>
      <c r="AI9" s="16">
        <v>0.0</v>
      </c>
      <c r="AJ9" s="16">
        <v>0.0</v>
      </c>
      <c r="AK9" s="17"/>
      <c r="AL9" s="18">
        <f t="shared" si="1"/>
        <v>2</v>
      </c>
      <c r="AM9" s="18">
        <f t="shared" si="2"/>
        <v>0</v>
      </c>
    </row>
    <row r="10" ht="31.5" customHeight="1">
      <c r="A10" s="1"/>
      <c r="B10" s="19"/>
      <c r="C10" s="19"/>
      <c r="D10" s="12" t="s">
        <v>59</v>
      </c>
      <c r="E10" s="13" t="s">
        <v>25</v>
      </c>
      <c r="F10" s="13" t="s">
        <v>30</v>
      </c>
      <c r="G10" s="13">
        <v>3.0</v>
      </c>
      <c r="H10" s="16">
        <v>0.0</v>
      </c>
      <c r="I10" s="16">
        <v>3.0</v>
      </c>
      <c r="J10" s="17"/>
      <c r="K10" s="16">
        <v>0.0</v>
      </c>
      <c r="L10" s="16">
        <v>3.0</v>
      </c>
      <c r="M10" s="17"/>
      <c r="N10" s="16">
        <v>3.0</v>
      </c>
      <c r="O10" s="16">
        <v>0.0</v>
      </c>
      <c r="P10" s="17"/>
      <c r="Q10" s="16">
        <v>0.0</v>
      </c>
      <c r="R10" s="16">
        <v>0.0</v>
      </c>
      <c r="S10" s="17"/>
      <c r="T10" s="16">
        <v>0.0</v>
      </c>
      <c r="U10" s="16">
        <v>0.0</v>
      </c>
      <c r="V10" s="17"/>
      <c r="W10" s="16">
        <v>0.0</v>
      </c>
      <c r="X10" s="16">
        <v>0.0</v>
      </c>
      <c r="Y10" s="17"/>
      <c r="Z10" s="16">
        <v>0.0</v>
      </c>
      <c r="AA10" s="16">
        <v>0.0</v>
      </c>
      <c r="AB10" s="17"/>
      <c r="AC10" s="16">
        <v>0.0</v>
      </c>
      <c r="AD10" s="16">
        <v>0.0</v>
      </c>
      <c r="AE10" s="17"/>
      <c r="AF10" s="16">
        <v>0.0</v>
      </c>
      <c r="AG10" s="16">
        <v>0.0</v>
      </c>
      <c r="AH10" s="17"/>
      <c r="AI10" s="16">
        <v>0.0</v>
      </c>
      <c r="AJ10" s="16">
        <v>0.0</v>
      </c>
      <c r="AK10" s="17"/>
      <c r="AL10" s="18">
        <f t="shared" si="1"/>
        <v>3</v>
      </c>
      <c r="AM10" s="18">
        <f t="shared" si="2"/>
        <v>0</v>
      </c>
    </row>
    <row r="11" ht="31.5" customHeight="1">
      <c r="A11" s="1"/>
      <c r="B11" s="20"/>
      <c r="C11" s="20"/>
      <c r="D11" s="12" t="s">
        <v>62</v>
      </c>
      <c r="E11" s="13" t="s">
        <v>25</v>
      </c>
      <c r="F11" s="13" t="s">
        <v>30</v>
      </c>
      <c r="G11" s="13">
        <v>2.0</v>
      </c>
      <c r="H11" s="16">
        <v>0.0</v>
      </c>
      <c r="I11" s="16">
        <v>2.0</v>
      </c>
      <c r="J11" s="17"/>
      <c r="K11" s="16">
        <v>0.0</v>
      </c>
      <c r="L11" s="16">
        <v>2.0</v>
      </c>
      <c r="M11" s="17"/>
      <c r="N11" s="16">
        <v>0.0</v>
      </c>
      <c r="O11" s="16">
        <v>2.0</v>
      </c>
      <c r="P11" s="17"/>
      <c r="Q11" s="16">
        <v>2.0</v>
      </c>
      <c r="R11" s="16">
        <v>0.0</v>
      </c>
      <c r="S11" s="17"/>
      <c r="T11" s="16">
        <v>0.0</v>
      </c>
      <c r="U11" s="16">
        <v>0.0</v>
      </c>
      <c r="V11" s="17"/>
      <c r="W11" s="16">
        <v>0.0</v>
      </c>
      <c r="X11" s="16">
        <v>0.0</v>
      </c>
      <c r="Y11" s="17"/>
      <c r="Z11" s="16">
        <v>0.0</v>
      </c>
      <c r="AA11" s="16">
        <v>0.0</v>
      </c>
      <c r="AB11" s="17"/>
      <c r="AC11" s="16">
        <v>0.0</v>
      </c>
      <c r="AD11" s="16">
        <v>0.0</v>
      </c>
      <c r="AE11" s="17"/>
      <c r="AF11" s="16">
        <v>0.0</v>
      </c>
      <c r="AG11" s="16">
        <v>0.0</v>
      </c>
      <c r="AH11" s="17"/>
      <c r="AI11" s="16">
        <v>0.0</v>
      </c>
      <c r="AJ11" s="16">
        <v>0.0</v>
      </c>
      <c r="AK11" s="17"/>
      <c r="AL11" s="18">
        <f t="shared" si="1"/>
        <v>2</v>
      </c>
      <c r="AM11" s="18">
        <f t="shared" si="2"/>
        <v>0</v>
      </c>
    </row>
    <row r="12" ht="31.5" customHeight="1">
      <c r="A12" s="1"/>
      <c r="B12" s="10" t="s">
        <v>68</v>
      </c>
      <c r="C12" s="11" t="s">
        <v>70</v>
      </c>
      <c r="D12" s="12" t="s">
        <v>72</v>
      </c>
      <c r="E12" s="13" t="s">
        <v>25</v>
      </c>
      <c r="F12" s="13" t="s">
        <v>30</v>
      </c>
      <c r="G12" s="13">
        <v>2.0</v>
      </c>
      <c r="H12" s="16">
        <v>0.0</v>
      </c>
      <c r="I12" s="16">
        <v>2.0</v>
      </c>
      <c r="J12" s="17"/>
      <c r="K12" s="16">
        <v>0.0</v>
      </c>
      <c r="L12" s="16">
        <v>2.0</v>
      </c>
      <c r="M12" s="17"/>
      <c r="N12" s="16">
        <v>0.0</v>
      </c>
      <c r="O12" s="16">
        <v>2.0</v>
      </c>
      <c r="P12" s="17"/>
      <c r="Q12" s="16">
        <v>2.0</v>
      </c>
      <c r="R12" s="16">
        <v>0.0</v>
      </c>
      <c r="S12" s="17"/>
      <c r="T12" s="16">
        <v>0.0</v>
      </c>
      <c r="U12" s="16">
        <v>0.0</v>
      </c>
      <c r="V12" s="17"/>
      <c r="W12" s="16">
        <v>0.0</v>
      </c>
      <c r="X12" s="16">
        <v>0.0</v>
      </c>
      <c r="Y12" s="17"/>
      <c r="Z12" s="16">
        <v>0.0</v>
      </c>
      <c r="AA12" s="16">
        <v>0.0</v>
      </c>
      <c r="AB12" s="17"/>
      <c r="AC12" s="16">
        <v>0.0</v>
      </c>
      <c r="AD12" s="16">
        <v>0.0</v>
      </c>
      <c r="AE12" s="17"/>
      <c r="AF12" s="16">
        <v>0.0</v>
      </c>
      <c r="AG12" s="16">
        <v>0.0</v>
      </c>
      <c r="AH12" s="17"/>
      <c r="AI12" s="16">
        <v>0.0</v>
      </c>
      <c r="AJ12" s="16">
        <v>0.0</v>
      </c>
      <c r="AK12" s="17"/>
      <c r="AL12" s="18">
        <f t="shared" si="1"/>
        <v>2</v>
      </c>
      <c r="AM12" s="18">
        <f t="shared" si="2"/>
        <v>0</v>
      </c>
    </row>
    <row r="13" ht="31.5" customHeight="1">
      <c r="A13" s="1"/>
      <c r="B13" s="19"/>
      <c r="C13" s="19"/>
      <c r="D13" s="12" t="s">
        <v>76</v>
      </c>
      <c r="E13" s="13" t="s">
        <v>25</v>
      </c>
      <c r="F13" s="13" t="s">
        <v>30</v>
      </c>
      <c r="G13" s="13">
        <v>4.0</v>
      </c>
      <c r="H13" s="16">
        <v>0.0</v>
      </c>
      <c r="I13" s="16">
        <v>4.0</v>
      </c>
      <c r="J13" s="17"/>
      <c r="K13" s="16">
        <v>0.0</v>
      </c>
      <c r="L13" s="16">
        <v>4.0</v>
      </c>
      <c r="M13" s="17"/>
      <c r="N13" s="16">
        <v>0.0</v>
      </c>
      <c r="O13" s="16">
        <v>4.0</v>
      </c>
      <c r="P13" s="17"/>
      <c r="Q13" s="16">
        <v>0.0</v>
      </c>
      <c r="R13" s="16">
        <v>4.0</v>
      </c>
      <c r="S13" s="17"/>
      <c r="T13" s="16">
        <v>4.0</v>
      </c>
      <c r="U13" s="16">
        <v>0.0</v>
      </c>
      <c r="V13" s="17"/>
      <c r="W13" s="16">
        <v>0.0</v>
      </c>
      <c r="X13" s="16">
        <v>0.0</v>
      </c>
      <c r="Y13" s="17"/>
      <c r="Z13" s="16">
        <v>0.0</v>
      </c>
      <c r="AA13" s="16">
        <v>0.0</v>
      </c>
      <c r="AB13" s="17"/>
      <c r="AC13" s="16">
        <v>0.0</v>
      </c>
      <c r="AD13" s="16">
        <v>0.0</v>
      </c>
      <c r="AE13" s="17"/>
      <c r="AF13" s="16">
        <v>0.0</v>
      </c>
      <c r="AG13" s="16">
        <v>0.0</v>
      </c>
      <c r="AH13" s="17"/>
      <c r="AI13" s="16">
        <v>0.0</v>
      </c>
      <c r="AJ13" s="16">
        <v>0.0</v>
      </c>
      <c r="AK13" s="17"/>
      <c r="AL13" s="18">
        <f t="shared" si="1"/>
        <v>4</v>
      </c>
      <c r="AM13" s="18">
        <f t="shared" si="2"/>
        <v>0</v>
      </c>
    </row>
    <row r="14" ht="31.5" customHeight="1">
      <c r="A14" s="1"/>
      <c r="B14" s="20"/>
      <c r="C14" s="20"/>
      <c r="D14" s="12" t="s">
        <v>84</v>
      </c>
      <c r="E14" s="13" t="s">
        <v>25</v>
      </c>
      <c r="F14" s="13" t="s">
        <v>30</v>
      </c>
      <c r="G14" s="13">
        <v>3.0</v>
      </c>
      <c r="H14" s="16">
        <v>0.0</v>
      </c>
      <c r="I14" s="16">
        <v>3.0</v>
      </c>
      <c r="J14" s="17"/>
      <c r="K14" s="16">
        <v>0.0</v>
      </c>
      <c r="L14" s="16">
        <v>3.0</v>
      </c>
      <c r="M14" s="17"/>
      <c r="N14" s="16">
        <v>0.0</v>
      </c>
      <c r="O14" s="16">
        <v>3.0</v>
      </c>
      <c r="P14" s="17"/>
      <c r="Q14" s="16">
        <v>0.0</v>
      </c>
      <c r="R14" s="16">
        <v>3.0</v>
      </c>
      <c r="S14" s="17"/>
      <c r="T14" s="16">
        <v>0.0</v>
      </c>
      <c r="U14" s="16">
        <v>3.0</v>
      </c>
      <c r="V14" s="17"/>
      <c r="W14" s="16">
        <v>3.0</v>
      </c>
      <c r="X14" s="16">
        <v>0.0</v>
      </c>
      <c r="Y14" s="17"/>
      <c r="Z14" s="16">
        <v>0.0</v>
      </c>
      <c r="AA14" s="16">
        <v>0.0</v>
      </c>
      <c r="AB14" s="17"/>
      <c r="AC14" s="16">
        <v>0.0</v>
      </c>
      <c r="AD14" s="16">
        <v>0.0</v>
      </c>
      <c r="AE14" s="17"/>
      <c r="AF14" s="16">
        <v>0.0</v>
      </c>
      <c r="AG14" s="16">
        <v>0.0</v>
      </c>
      <c r="AH14" s="17"/>
      <c r="AI14" s="16">
        <v>0.0</v>
      </c>
      <c r="AJ14" s="16">
        <v>0.0</v>
      </c>
      <c r="AK14" s="17"/>
      <c r="AL14" s="18">
        <f t="shared" si="1"/>
        <v>3</v>
      </c>
      <c r="AM14" s="18">
        <f t="shared" si="2"/>
        <v>0</v>
      </c>
    </row>
    <row r="15" ht="31.5" customHeight="1">
      <c r="A15" s="1"/>
      <c r="B15" s="10" t="s">
        <v>88</v>
      </c>
      <c r="C15" s="11" t="s">
        <v>91</v>
      </c>
      <c r="D15" s="12" t="s">
        <v>93</v>
      </c>
      <c r="E15" s="13" t="s">
        <v>25</v>
      </c>
      <c r="F15" s="13" t="s">
        <v>30</v>
      </c>
      <c r="G15" s="13">
        <v>3.0</v>
      </c>
      <c r="H15" s="16">
        <v>0.0</v>
      </c>
      <c r="I15" s="16">
        <v>3.0</v>
      </c>
      <c r="J15" s="17"/>
      <c r="K15" s="16">
        <v>0.0</v>
      </c>
      <c r="L15" s="16">
        <v>3.0</v>
      </c>
      <c r="M15" s="17"/>
      <c r="N15" s="16">
        <v>0.0</v>
      </c>
      <c r="O15" s="16">
        <v>3.0</v>
      </c>
      <c r="P15" s="17"/>
      <c r="Q15" s="16">
        <v>0.0</v>
      </c>
      <c r="R15" s="16">
        <v>3.0</v>
      </c>
      <c r="S15" s="17"/>
      <c r="T15" s="16">
        <v>0.0</v>
      </c>
      <c r="U15" s="16">
        <v>3.0</v>
      </c>
      <c r="V15" s="17"/>
      <c r="W15" s="16">
        <v>1.0</v>
      </c>
      <c r="X15" s="16">
        <v>2.0</v>
      </c>
      <c r="Y15" s="17"/>
      <c r="Z15" s="16">
        <v>2.0</v>
      </c>
      <c r="AA15" s="16">
        <v>0.0</v>
      </c>
      <c r="AB15" s="17"/>
      <c r="AC15" s="16">
        <v>0.0</v>
      </c>
      <c r="AD15" s="16">
        <v>0.0</v>
      </c>
      <c r="AE15" s="17"/>
      <c r="AF15" s="16">
        <v>0.0</v>
      </c>
      <c r="AG15" s="16">
        <v>0.0</v>
      </c>
      <c r="AH15" s="17"/>
      <c r="AI15" s="16">
        <v>0.0</v>
      </c>
      <c r="AJ15" s="16">
        <v>0.0</v>
      </c>
      <c r="AK15" s="17"/>
      <c r="AL15" s="18">
        <f t="shared" si="1"/>
        <v>3</v>
      </c>
      <c r="AM15" s="18">
        <f t="shared" si="2"/>
        <v>0</v>
      </c>
    </row>
    <row r="16" ht="31.5" customHeight="1">
      <c r="A16" s="1"/>
      <c r="B16" s="19"/>
      <c r="C16" s="19"/>
      <c r="D16" s="12" t="s">
        <v>96</v>
      </c>
      <c r="E16" s="13" t="s">
        <v>25</v>
      </c>
      <c r="F16" s="13" t="s">
        <v>30</v>
      </c>
      <c r="G16" s="13">
        <v>5.0</v>
      </c>
      <c r="H16" s="16">
        <v>0.0</v>
      </c>
      <c r="I16" s="16">
        <v>5.0</v>
      </c>
      <c r="J16" s="17"/>
      <c r="K16" s="16">
        <v>0.0</v>
      </c>
      <c r="L16" s="16">
        <v>5.0</v>
      </c>
      <c r="M16" s="17"/>
      <c r="N16" s="16">
        <v>0.0</v>
      </c>
      <c r="O16" s="16">
        <v>5.0</v>
      </c>
      <c r="P16" s="17"/>
      <c r="Q16" s="16">
        <v>0.0</v>
      </c>
      <c r="R16" s="16">
        <v>5.0</v>
      </c>
      <c r="S16" s="17"/>
      <c r="T16" s="16">
        <v>0.0</v>
      </c>
      <c r="U16" s="16">
        <v>5.0</v>
      </c>
      <c r="V16" s="17"/>
      <c r="W16" s="16">
        <v>0.0</v>
      </c>
      <c r="X16" s="16">
        <v>5.0</v>
      </c>
      <c r="Y16" s="17"/>
      <c r="Z16" s="16">
        <v>1.0</v>
      </c>
      <c r="AA16" s="16">
        <v>4.0</v>
      </c>
      <c r="AB16" s="17"/>
      <c r="AC16" s="16">
        <v>3.0</v>
      </c>
      <c r="AD16" s="16">
        <v>1.0</v>
      </c>
      <c r="AE16" s="17"/>
      <c r="AF16" s="16">
        <v>1.0</v>
      </c>
      <c r="AG16" s="16">
        <v>0.0</v>
      </c>
      <c r="AH16" s="17"/>
      <c r="AI16" s="16">
        <v>0.0</v>
      </c>
      <c r="AJ16" s="16">
        <v>0.0</v>
      </c>
      <c r="AK16" s="17"/>
      <c r="AL16" s="18">
        <f t="shared" si="1"/>
        <v>5</v>
      </c>
      <c r="AM16" s="18">
        <f t="shared" si="2"/>
        <v>0</v>
      </c>
    </row>
    <row r="17" ht="31.5" customHeight="1">
      <c r="A17" s="1"/>
      <c r="B17" s="20"/>
      <c r="C17" s="20"/>
      <c r="D17" s="12" t="s">
        <v>102</v>
      </c>
      <c r="E17" s="13" t="s">
        <v>25</v>
      </c>
      <c r="F17" s="13" t="s">
        <v>30</v>
      </c>
      <c r="G17" s="13">
        <v>3.0</v>
      </c>
      <c r="H17" s="16">
        <v>0.0</v>
      </c>
      <c r="I17" s="16">
        <v>3.0</v>
      </c>
      <c r="J17" s="17"/>
      <c r="K17" s="16">
        <v>0.0</v>
      </c>
      <c r="L17" s="16">
        <v>3.0</v>
      </c>
      <c r="M17" s="17"/>
      <c r="N17" s="16">
        <v>0.0</v>
      </c>
      <c r="O17" s="16">
        <v>3.0</v>
      </c>
      <c r="P17" s="17"/>
      <c r="Q17" s="16">
        <v>0.0</v>
      </c>
      <c r="R17" s="16">
        <v>3.0</v>
      </c>
      <c r="S17" s="17"/>
      <c r="T17" s="16">
        <v>0.0</v>
      </c>
      <c r="U17" s="16">
        <v>3.0</v>
      </c>
      <c r="V17" s="17"/>
      <c r="W17" s="16">
        <v>0.0</v>
      </c>
      <c r="X17" s="16">
        <v>3.0</v>
      </c>
      <c r="Y17" s="17"/>
      <c r="Z17" s="16">
        <v>0.0</v>
      </c>
      <c r="AA17" s="16">
        <v>3.0</v>
      </c>
      <c r="AB17" s="17"/>
      <c r="AC17" s="16">
        <v>0.0</v>
      </c>
      <c r="AD17" s="16">
        <v>3.0</v>
      </c>
      <c r="AE17" s="17"/>
      <c r="AF17" s="16">
        <v>1.0</v>
      </c>
      <c r="AG17" s="16">
        <v>2.0</v>
      </c>
      <c r="AH17" s="17"/>
      <c r="AI17" s="16">
        <v>2.0</v>
      </c>
      <c r="AJ17" s="16">
        <v>0.0</v>
      </c>
      <c r="AK17" s="17"/>
      <c r="AL17" s="18">
        <f t="shared" si="1"/>
        <v>3</v>
      </c>
      <c r="AM17" s="18">
        <f t="shared" si="2"/>
        <v>0</v>
      </c>
    </row>
    <row r="18">
      <c r="A18" s="1"/>
      <c r="B18" s="1"/>
      <c r="C18" s="1"/>
      <c r="D18" s="1"/>
      <c r="E18" s="23"/>
      <c r="F18" s="23"/>
      <c r="G18" s="24" t="s">
        <v>104</v>
      </c>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row>
  </sheetData>
  <mergeCells count="19">
    <mergeCell ref="AC4:AD4"/>
    <mergeCell ref="AF4:AG4"/>
    <mergeCell ref="AI4:AJ4"/>
    <mergeCell ref="C6:C8"/>
    <mergeCell ref="B6:B8"/>
    <mergeCell ref="B9:B11"/>
    <mergeCell ref="C9:C11"/>
    <mergeCell ref="C12:C14"/>
    <mergeCell ref="B12:B14"/>
    <mergeCell ref="C15:C17"/>
    <mergeCell ref="B15:B17"/>
    <mergeCell ref="H4:I4"/>
    <mergeCell ref="K4:L4"/>
    <mergeCell ref="N4:O4"/>
    <mergeCell ref="Q4:R4"/>
    <mergeCell ref="T4:U4"/>
    <mergeCell ref="W4:X4"/>
    <mergeCell ref="Z4:AA4"/>
    <mergeCell ref="AL4:AM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5"/>
    <col customWidth="1" min="2" max="2" width="14.38"/>
    <col customWidth="1" min="3" max="3" width="29.75"/>
    <col customWidth="1" min="4" max="4" width="29.88"/>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row>
    <row r="5">
      <c r="A5" s="1"/>
      <c r="B5" s="7" t="s">
        <v>14</v>
      </c>
      <c r="C5" s="7" t="s">
        <v>15</v>
      </c>
      <c r="D5" s="7" t="s">
        <v>16</v>
      </c>
      <c r="E5" s="7" t="s">
        <v>17</v>
      </c>
      <c r="F5" s="7" t="s">
        <v>18</v>
      </c>
      <c r="G5" s="7" t="s">
        <v>19</v>
      </c>
      <c r="H5" s="8" t="s">
        <v>20</v>
      </c>
      <c r="I5" s="8" t="s">
        <v>21</v>
      </c>
      <c r="J5" s="8"/>
      <c r="K5" s="8" t="s">
        <v>20</v>
      </c>
      <c r="L5" s="8" t="s">
        <v>21</v>
      </c>
      <c r="M5" s="8"/>
      <c r="N5" s="8" t="s">
        <v>20</v>
      </c>
      <c r="O5" s="8" t="s">
        <v>21</v>
      </c>
      <c r="P5" s="8"/>
      <c r="Q5" s="8" t="s">
        <v>20</v>
      </c>
      <c r="R5" s="8" t="s">
        <v>21</v>
      </c>
      <c r="S5" s="8"/>
      <c r="T5" s="8" t="s">
        <v>20</v>
      </c>
      <c r="U5" s="8" t="s">
        <v>21</v>
      </c>
      <c r="V5" s="8"/>
      <c r="W5" s="8" t="s">
        <v>20</v>
      </c>
      <c r="X5" s="8" t="s">
        <v>21</v>
      </c>
      <c r="Y5" s="8"/>
      <c r="Z5" s="8" t="s">
        <v>20</v>
      </c>
      <c r="AA5" s="8" t="s">
        <v>21</v>
      </c>
      <c r="AB5" s="8"/>
      <c r="AC5" s="8" t="s">
        <v>20</v>
      </c>
      <c r="AD5" s="8" t="s">
        <v>21</v>
      </c>
      <c r="AE5" s="8"/>
      <c r="AF5" s="8" t="s">
        <v>20</v>
      </c>
      <c r="AG5" s="8" t="s">
        <v>21</v>
      </c>
      <c r="AH5" s="8"/>
      <c r="AI5" s="8" t="s">
        <v>20</v>
      </c>
      <c r="AJ5" s="8" t="s">
        <v>21</v>
      </c>
      <c r="AK5" s="8"/>
      <c r="AL5" s="8" t="s">
        <v>20</v>
      </c>
      <c r="AM5" s="8" t="s">
        <v>21</v>
      </c>
    </row>
    <row r="6" ht="33.0" customHeight="1">
      <c r="A6" s="1"/>
      <c r="B6" s="10" t="s">
        <v>27</v>
      </c>
      <c r="C6" s="11" t="s">
        <v>28</v>
      </c>
      <c r="D6" s="12" t="s">
        <v>29</v>
      </c>
      <c r="E6" s="13" t="s">
        <v>25</v>
      </c>
      <c r="F6" s="13" t="s">
        <v>30</v>
      </c>
      <c r="G6" s="13">
        <v>2.0</v>
      </c>
      <c r="H6" s="16">
        <v>2.0</v>
      </c>
      <c r="I6" s="16">
        <v>0.0</v>
      </c>
      <c r="J6" s="17"/>
      <c r="K6" s="16">
        <v>0.0</v>
      </c>
      <c r="L6" s="16">
        <v>0.0</v>
      </c>
      <c r="M6" s="17"/>
      <c r="N6" s="16">
        <v>0.0</v>
      </c>
      <c r="O6" s="16">
        <v>0.0</v>
      </c>
      <c r="P6" s="17"/>
      <c r="Q6" s="16">
        <v>0.0</v>
      </c>
      <c r="R6" s="16">
        <v>0.0</v>
      </c>
      <c r="S6" s="17"/>
      <c r="T6" s="16">
        <v>0.0</v>
      </c>
      <c r="U6" s="16">
        <v>0.0</v>
      </c>
      <c r="V6" s="17"/>
      <c r="W6" s="16">
        <v>0.0</v>
      </c>
      <c r="X6" s="16">
        <v>0.0</v>
      </c>
      <c r="Y6" s="17"/>
      <c r="Z6" s="16">
        <v>0.0</v>
      </c>
      <c r="AA6" s="16">
        <v>0.0</v>
      </c>
      <c r="AB6" s="17"/>
      <c r="AC6" s="16">
        <v>0.0</v>
      </c>
      <c r="AD6" s="16">
        <v>0.0</v>
      </c>
      <c r="AE6" s="17"/>
      <c r="AF6" s="16">
        <v>0.0</v>
      </c>
      <c r="AG6" s="16">
        <v>0.0</v>
      </c>
      <c r="AH6" s="17"/>
      <c r="AI6" s="16">
        <v>0.0</v>
      </c>
      <c r="AJ6" s="16">
        <v>0.0</v>
      </c>
      <c r="AK6" s="17"/>
      <c r="AL6" s="18">
        <f t="shared" ref="AL6:AL14" si="1">H6+K6+N6+Q6+T6+W6+Z6+AC6+AF6+AI6</f>
        <v>2</v>
      </c>
      <c r="AM6" s="18">
        <f t="shared" ref="AM6:AM14" si="2">G6-AL6</f>
        <v>0</v>
      </c>
    </row>
    <row r="7" ht="33.0" customHeight="1">
      <c r="A7" s="1"/>
      <c r="B7" s="19"/>
      <c r="C7" s="19"/>
      <c r="D7" s="12" t="s">
        <v>39</v>
      </c>
      <c r="E7" s="13" t="s">
        <v>25</v>
      </c>
      <c r="F7" s="13" t="s">
        <v>30</v>
      </c>
      <c r="G7" s="13">
        <v>3.0</v>
      </c>
      <c r="H7" s="16">
        <v>2.0</v>
      </c>
      <c r="I7" s="16">
        <v>1.0</v>
      </c>
      <c r="J7" s="17"/>
      <c r="K7" s="16">
        <v>1.0</v>
      </c>
      <c r="L7" s="16">
        <v>0.0</v>
      </c>
      <c r="M7" s="17"/>
      <c r="N7" s="16">
        <v>0.0</v>
      </c>
      <c r="O7" s="16">
        <v>0.0</v>
      </c>
      <c r="P7" s="17"/>
      <c r="Q7" s="16">
        <v>0.0</v>
      </c>
      <c r="R7" s="16">
        <v>0.0</v>
      </c>
      <c r="S7" s="17"/>
      <c r="T7" s="16">
        <v>0.0</v>
      </c>
      <c r="U7" s="16">
        <v>0.0</v>
      </c>
      <c r="V7" s="17"/>
      <c r="W7" s="16">
        <v>0.0</v>
      </c>
      <c r="X7" s="16">
        <v>0.0</v>
      </c>
      <c r="Y7" s="17"/>
      <c r="Z7" s="16">
        <v>0.0</v>
      </c>
      <c r="AA7" s="16">
        <v>0.0</v>
      </c>
      <c r="AB7" s="17"/>
      <c r="AC7" s="16">
        <v>0.0</v>
      </c>
      <c r="AD7" s="16">
        <v>0.0</v>
      </c>
      <c r="AE7" s="17"/>
      <c r="AF7" s="16">
        <v>0.0</v>
      </c>
      <c r="AG7" s="16">
        <v>0.0</v>
      </c>
      <c r="AH7" s="17"/>
      <c r="AI7" s="16">
        <v>0.0</v>
      </c>
      <c r="AJ7" s="16">
        <v>0.0</v>
      </c>
      <c r="AK7" s="17"/>
      <c r="AL7" s="18">
        <f t="shared" si="1"/>
        <v>3</v>
      </c>
      <c r="AM7" s="18">
        <f t="shared" si="2"/>
        <v>0</v>
      </c>
    </row>
    <row r="8" ht="33.0" customHeight="1">
      <c r="A8" s="1"/>
      <c r="B8" s="20"/>
      <c r="C8" s="20"/>
      <c r="D8" s="12" t="s">
        <v>44</v>
      </c>
      <c r="E8" s="13" t="s">
        <v>25</v>
      </c>
      <c r="F8" s="13" t="s">
        <v>30</v>
      </c>
      <c r="G8" s="13">
        <v>2.0</v>
      </c>
      <c r="H8" s="16">
        <v>0.0</v>
      </c>
      <c r="I8" s="16">
        <v>2.0</v>
      </c>
      <c r="J8" s="17"/>
      <c r="K8" s="16">
        <v>2.0</v>
      </c>
      <c r="L8" s="16">
        <v>0.0</v>
      </c>
      <c r="M8" s="17"/>
      <c r="N8" s="16">
        <v>0.0</v>
      </c>
      <c r="O8" s="16">
        <v>0.0</v>
      </c>
      <c r="P8" s="17"/>
      <c r="Q8" s="16">
        <v>0.0</v>
      </c>
      <c r="R8" s="16">
        <v>0.0</v>
      </c>
      <c r="S8" s="17"/>
      <c r="T8" s="16">
        <v>0.0</v>
      </c>
      <c r="U8" s="16">
        <v>0.0</v>
      </c>
      <c r="V8" s="17"/>
      <c r="W8" s="16">
        <v>0.0</v>
      </c>
      <c r="X8" s="16">
        <v>0.0</v>
      </c>
      <c r="Y8" s="17"/>
      <c r="Z8" s="16">
        <v>0.0</v>
      </c>
      <c r="AA8" s="16">
        <v>0.0</v>
      </c>
      <c r="AB8" s="17"/>
      <c r="AC8" s="16">
        <v>0.0</v>
      </c>
      <c r="AD8" s="16">
        <v>0.0</v>
      </c>
      <c r="AE8" s="17"/>
      <c r="AF8" s="16">
        <v>0.0</v>
      </c>
      <c r="AG8" s="16">
        <v>0.0</v>
      </c>
      <c r="AH8" s="17"/>
      <c r="AI8" s="16">
        <v>0.0</v>
      </c>
      <c r="AJ8" s="16">
        <v>0.0</v>
      </c>
      <c r="AK8" s="17"/>
      <c r="AL8" s="18">
        <f t="shared" si="1"/>
        <v>2</v>
      </c>
      <c r="AM8" s="18">
        <f t="shared" si="2"/>
        <v>0</v>
      </c>
    </row>
    <row r="9" ht="33.0" customHeight="1">
      <c r="A9" s="1"/>
      <c r="B9" s="10" t="s">
        <v>51</v>
      </c>
      <c r="C9" s="11" t="s">
        <v>54</v>
      </c>
      <c r="D9" s="12" t="s">
        <v>56</v>
      </c>
      <c r="E9" s="13" t="s">
        <v>25</v>
      </c>
      <c r="F9" s="13" t="s">
        <v>30</v>
      </c>
      <c r="G9" s="13">
        <v>3.0</v>
      </c>
      <c r="H9" s="16">
        <v>0.0</v>
      </c>
      <c r="I9" s="16">
        <v>3.0</v>
      </c>
      <c r="J9" s="17"/>
      <c r="K9" s="16">
        <v>0.0</v>
      </c>
      <c r="L9" s="16">
        <v>3.0</v>
      </c>
      <c r="M9" s="17"/>
      <c r="N9" s="16">
        <v>3.0</v>
      </c>
      <c r="O9" s="16">
        <v>0.0</v>
      </c>
      <c r="P9" s="17"/>
      <c r="Q9" s="16">
        <v>0.0</v>
      </c>
      <c r="R9" s="16">
        <v>0.0</v>
      </c>
      <c r="S9" s="17"/>
      <c r="T9" s="16">
        <v>0.0</v>
      </c>
      <c r="U9" s="16">
        <v>0.0</v>
      </c>
      <c r="V9" s="17"/>
      <c r="W9" s="16">
        <v>0.0</v>
      </c>
      <c r="X9" s="16">
        <v>0.0</v>
      </c>
      <c r="Y9" s="17"/>
      <c r="Z9" s="16">
        <v>0.0</v>
      </c>
      <c r="AA9" s="16">
        <v>0.0</v>
      </c>
      <c r="AB9" s="17"/>
      <c r="AC9" s="16">
        <v>0.0</v>
      </c>
      <c r="AD9" s="16">
        <v>0.0</v>
      </c>
      <c r="AE9" s="17"/>
      <c r="AF9" s="16">
        <v>0.0</v>
      </c>
      <c r="AG9" s="16">
        <v>0.0</v>
      </c>
      <c r="AH9" s="17"/>
      <c r="AI9" s="16">
        <v>0.0</v>
      </c>
      <c r="AJ9" s="16">
        <v>0.0</v>
      </c>
      <c r="AK9" s="17"/>
      <c r="AL9" s="18">
        <f t="shared" si="1"/>
        <v>3</v>
      </c>
      <c r="AM9" s="18">
        <f t="shared" si="2"/>
        <v>0</v>
      </c>
    </row>
    <row r="10" ht="33.0" customHeight="1">
      <c r="A10" s="1"/>
      <c r="B10" s="19"/>
      <c r="C10" s="19"/>
      <c r="D10" s="12" t="s">
        <v>63</v>
      </c>
      <c r="E10" s="13" t="s">
        <v>25</v>
      </c>
      <c r="F10" s="13" t="s">
        <v>30</v>
      </c>
      <c r="G10" s="13">
        <v>4.0</v>
      </c>
      <c r="H10" s="16">
        <v>0.0</v>
      </c>
      <c r="I10" s="16">
        <v>4.0</v>
      </c>
      <c r="J10" s="17"/>
      <c r="K10" s="16">
        <v>0.0</v>
      </c>
      <c r="L10" s="16">
        <v>4.0</v>
      </c>
      <c r="M10" s="17"/>
      <c r="N10" s="16">
        <v>1.0</v>
      </c>
      <c r="O10" s="16">
        <v>3.0</v>
      </c>
      <c r="P10" s="17"/>
      <c r="Q10" s="16">
        <v>3.0</v>
      </c>
      <c r="R10" s="16">
        <v>0.0</v>
      </c>
      <c r="S10" s="17"/>
      <c r="T10" s="16">
        <v>0.0</v>
      </c>
      <c r="U10" s="16">
        <v>0.0</v>
      </c>
      <c r="V10" s="17"/>
      <c r="W10" s="16">
        <v>0.0</v>
      </c>
      <c r="X10" s="16">
        <v>0.0</v>
      </c>
      <c r="Y10" s="17"/>
      <c r="Z10" s="16">
        <v>0.0</v>
      </c>
      <c r="AA10" s="16">
        <v>0.0</v>
      </c>
      <c r="AB10" s="17"/>
      <c r="AC10" s="16">
        <v>0.0</v>
      </c>
      <c r="AD10" s="16">
        <v>0.0</v>
      </c>
      <c r="AE10" s="17"/>
      <c r="AF10" s="16">
        <v>0.0</v>
      </c>
      <c r="AG10" s="16">
        <v>0.0</v>
      </c>
      <c r="AH10" s="17"/>
      <c r="AI10" s="16">
        <v>0.0</v>
      </c>
      <c r="AJ10" s="16">
        <v>0.0</v>
      </c>
      <c r="AK10" s="17"/>
      <c r="AL10" s="18">
        <f t="shared" si="1"/>
        <v>4</v>
      </c>
      <c r="AM10" s="18">
        <f t="shared" si="2"/>
        <v>0</v>
      </c>
    </row>
    <row r="11" ht="33.0" customHeight="1">
      <c r="A11" s="1"/>
      <c r="B11" s="20"/>
      <c r="C11" s="20"/>
      <c r="D11" s="12" t="s">
        <v>73</v>
      </c>
      <c r="E11" s="13" t="s">
        <v>25</v>
      </c>
      <c r="F11" s="13" t="s">
        <v>30</v>
      </c>
      <c r="G11" s="13">
        <v>3.0</v>
      </c>
      <c r="H11" s="16">
        <v>0.0</v>
      </c>
      <c r="I11" s="16">
        <v>3.0</v>
      </c>
      <c r="J11" s="17"/>
      <c r="K11" s="16">
        <v>0.0</v>
      </c>
      <c r="L11" s="16">
        <v>3.0</v>
      </c>
      <c r="M11" s="17"/>
      <c r="N11" s="16">
        <v>0.0</v>
      </c>
      <c r="O11" s="16">
        <v>3.0</v>
      </c>
      <c r="P11" s="17"/>
      <c r="Q11" s="16">
        <v>0.0</v>
      </c>
      <c r="R11" s="16">
        <v>3.0</v>
      </c>
      <c r="S11" s="17"/>
      <c r="T11" s="16">
        <v>3.0</v>
      </c>
      <c r="U11" s="16">
        <v>0.0</v>
      </c>
      <c r="V11" s="17"/>
      <c r="W11" s="16">
        <v>0.0</v>
      </c>
      <c r="X11" s="16">
        <v>0.0</v>
      </c>
      <c r="Y11" s="17"/>
      <c r="Z11" s="16">
        <v>0.0</v>
      </c>
      <c r="AA11" s="16">
        <v>0.0</v>
      </c>
      <c r="AB11" s="17"/>
      <c r="AC11" s="16">
        <v>0.0</v>
      </c>
      <c r="AD11" s="16">
        <v>0.0</v>
      </c>
      <c r="AE11" s="17"/>
      <c r="AF11" s="16">
        <v>0.0</v>
      </c>
      <c r="AG11" s="16">
        <v>0.0</v>
      </c>
      <c r="AH11" s="17"/>
      <c r="AI11" s="16">
        <v>0.0</v>
      </c>
      <c r="AJ11" s="16">
        <v>0.0</v>
      </c>
      <c r="AK11" s="17"/>
      <c r="AL11" s="18">
        <f t="shared" si="1"/>
        <v>3</v>
      </c>
      <c r="AM11" s="18">
        <f t="shared" si="2"/>
        <v>0</v>
      </c>
    </row>
    <row r="12" ht="33.0" customHeight="1">
      <c r="A12" s="1"/>
      <c r="B12" s="10" t="s">
        <v>78</v>
      </c>
      <c r="C12" s="11" t="s">
        <v>79</v>
      </c>
      <c r="D12" s="12" t="s">
        <v>81</v>
      </c>
      <c r="E12" s="13" t="s">
        <v>25</v>
      </c>
      <c r="F12" s="13" t="s">
        <v>30</v>
      </c>
      <c r="G12" s="13">
        <v>4.0</v>
      </c>
      <c r="H12" s="16">
        <v>0.0</v>
      </c>
      <c r="I12" s="16">
        <v>4.0</v>
      </c>
      <c r="J12" s="17"/>
      <c r="K12" s="16">
        <v>0.0</v>
      </c>
      <c r="L12" s="16">
        <v>4.0</v>
      </c>
      <c r="M12" s="17"/>
      <c r="N12" s="16">
        <v>0.0</v>
      </c>
      <c r="O12" s="16">
        <v>4.0</v>
      </c>
      <c r="P12" s="17"/>
      <c r="Q12" s="16">
        <v>0.0</v>
      </c>
      <c r="R12" s="16">
        <v>4.0</v>
      </c>
      <c r="S12" s="17"/>
      <c r="T12" s="16">
        <v>0.0</v>
      </c>
      <c r="U12" s="16">
        <v>4.0</v>
      </c>
      <c r="V12" s="17"/>
      <c r="W12" s="16">
        <v>3.0</v>
      </c>
      <c r="X12" s="16">
        <v>1.0</v>
      </c>
      <c r="Y12" s="17"/>
      <c r="Z12" s="16">
        <v>1.0</v>
      </c>
      <c r="AA12" s="16">
        <v>0.0</v>
      </c>
      <c r="AB12" s="17"/>
      <c r="AC12" s="16">
        <v>0.0</v>
      </c>
      <c r="AD12" s="16">
        <v>0.0</v>
      </c>
      <c r="AE12" s="17"/>
      <c r="AF12" s="16">
        <v>0.0</v>
      </c>
      <c r="AG12" s="16">
        <v>0.0</v>
      </c>
      <c r="AH12" s="17"/>
      <c r="AI12" s="16">
        <v>0.0</v>
      </c>
      <c r="AJ12" s="16">
        <v>0.0</v>
      </c>
      <c r="AK12" s="17"/>
      <c r="AL12" s="18">
        <f t="shared" si="1"/>
        <v>4</v>
      </c>
      <c r="AM12" s="18">
        <f t="shared" si="2"/>
        <v>0</v>
      </c>
    </row>
    <row r="13" ht="33.0" customHeight="1">
      <c r="A13" s="1"/>
      <c r="B13" s="19"/>
      <c r="C13" s="19"/>
      <c r="D13" s="12" t="s">
        <v>87</v>
      </c>
      <c r="E13" s="13" t="s">
        <v>25</v>
      </c>
      <c r="F13" s="13" t="s">
        <v>30</v>
      </c>
      <c r="G13" s="13">
        <v>6.0</v>
      </c>
      <c r="H13" s="16">
        <v>0.0</v>
      </c>
      <c r="I13" s="16">
        <v>6.0</v>
      </c>
      <c r="J13" s="17"/>
      <c r="K13" s="16">
        <v>0.0</v>
      </c>
      <c r="L13" s="16">
        <v>6.0</v>
      </c>
      <c r="M13" s="17"/>
      <c r="N13" s="16">
        <v>0.0</v>
      </c>
      <c r="O13" s="16">
        <v>6.0</v>
      </c>
      <c r="P13" s="17"/>
      <c r="Q13" s="16">
        <v>0.0</v>
      </c>
      <c r="R13" s="16">
        <v>6.0</v>
      </c>
      <c r="S13" s="17"/>
      <c r="T13" s="16">
        <v>0.0</v>
      </c>
      <c r="U13" s="16">
        <v>6.0</v>
      </c>
      <c r="V13" s="17"/>
      <c r="W13" s="16">
        <v>0.0</v>
      </c>
      <c r="X13" s="16">
        <v>6.0</v>
      </c>
      <c r="Y13" s="17"/>
      <c r="Z13" s="16">
        <v>2.0</v>
      </c>
      <c r="AA13" s="16">
        <v>4.0</v>
      </c>
      <c r="AB13" s="17"/>
      <c r="AC13" s="16">
        <v>3.0</v>
      </c>
      <c r="AD13" s="16">
        <v>1.0</v>
      </c>
      <c r="AE13" s="17"/>
      <c r="AF13" s="16">
        <v>1.0</v>
      </c>
      <c r="AG13" s="16">
        <v>0.0</v>
      </c>
      <c r="AH13" s="17"/>
      <c r="AI13" s="16">
        <v>0.0</v>
      </c>
      <c r="AJ13" s="16">
        <v>0.0</v>
      </c>
      <c r="AK13" s="17"/>
      <c r="AL13" s="18">
        <f t="shared" si="1"/>
        <v>6</v>
      </c>
      <c r="AM13" s="18">
        <f t="shared" si="2"/>
        <v>0</v>
      </c>
    </row>
    <row r="14" ht="33.0" customHeight="1">
      <c r="A14" s="1"/>
      <c r="B14" s="20"/>
      <c r="C14" s="20"/>
      <c r="D14" s="12" t="s">
        <v>97</v>
      </c>
      <c r="E14" s="13" t="s">
        <v>25</v>
      </c>
      <c r="F14" s="13" t="s">
        <v>30</v>
      </c>
      <c r="G14" s="13">
        <v>5.0</v>
      </c>
      <c r="H14" s="16">
        <v>0.0</v>
      </c>
      <c r="I14" s="16">
        <v>5.0</v>
      </c>
      <c r="J14" s="17"/>
      <c r="K14" s="16">
        <v>0.0</v>
      </c>
      <c r="L14" s="16">
        <v>5.0</v>
      </c>
      <c r="M14" s="17"/>
      <c r="N14" s="16">
        <v>0.0</v>
      </c>
      <c r="O14" s="16">
        <v>5.0</v>
      </c>
      <c r="P14" s="17"/>
      <c r="Q14" s="16">
        <v>0.0</v>
      </c>
      <c r="R14" s="16">
        <v>5.0</v>
      </c>
      <c r="S14" s="17"/>
      <c r="T14" s="16">
        <v>0.0</v>
      </c>
      <c r="U14" s="16">
        <v>5.0</v>
      </c>
      <c r="V14" s="17"/>
      <c r="W14" s="16">
        <v>0.0</v>
      </c>
      <c r="X14" s="16">
        <v>5.0</v>
      </c>
      <c r="Y14" s="17"/>
      <c r="Z14" s="16">
        <v>0.0</v>
      </c>
      <c r="AA14" s="16">
        <v>5.0</v>
      </c>
      <c r="AB14" s="17"/>
      <c r="AC14" s="16">
        <v>0.0</v>
      </c>
      <c r="AD14" s="16">
        <v>5.0</v>
      </c>
      <c r="AE14" s="17"/>
      <c r="AF14" s="16">
        <v>2.0</v>
      </c>
      <c r="AG14" s="16">
        <v>3.0</v>
      </c>
      <c r="AH14" s="17"/>
      <c r="AI14" s="16">
        <v>3.0</v>
      </c>
      <c r="AJ14" s="16">
        <v>0.0</v>
      </c>
      <c r="AK14" s="17"/>
      <c r="AL14" s="18">
        <f t="shared" si="1"/>
        <v>5</v>
      </c>
      <c r="AM14" s="18">
        <f t="shared" si="2"/>
        <v>0</v>
      </c>
    </row>
    <row r="15">
      <c r="A15" s="1"/>
      <c r="B15" s="1"/>
      <c r="C15" s="1"/>
      <c r="D15" s="1"/>
      <c r="E15" s="23"/>
      <c r="F15" s="23"/>
      <c r="G15" s="24" t="s">
        <v>105</v>
      </c>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row>
  </sheetData>
  <mergeCells count="17">
    <mergeCell ref="AC4:AD4"/>
    <mergeCell ref="AF4:AG4"/>
    <mergeCell ref="AI4:AJ4"/>
    <mergeCell ref="C6:C8"/>
    <mergeCell ref="B6:B8"/>
    <mergeCell ref="B9:B11"/>
    <mergeCell ref="B12:B14"/>
    <mergeCell ref="C9:C11"/>
    <mergeCell ref="C12:C14"/>
    <mergeCell ref="H4:I4"/>
    <mergeCell ref="K4:L4"/>
    <mergeCell ref="N4:O4"/>
    <mergeCell ref="Q4:R4"/>
    <mergeCell ref="T4:U4"/>
    <mergeCell ref="W4:X4"/>
    <mergeCell ref="Z4:AA4"/>
    <mergeCell ref="AL4:AM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5"/>
    <col customWidth="1" min="2" max="2" width="14.38"/>
    <col customWidth="1" min="3" max="3" width="29.75"/>
    <col customWidth="1" min="4" max="4" width="35.25"/>
    <col customWidth="1" min="5" max="5" width="28.0"/>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row>
    <row r="5">
      <c r="A5" s="1"/>
      <c r="B5" s="7" t="s">
        <v>14</v>
      </c>
      <c r="C5" s="7" t="s">
        <v>15</v>
      </c>
      <c r="D5" s="7" t="s">
        <v>16</v>
      </c>
      <c r="E5" s="7" t="s">
        <v>17</v>
      </c>
      <c r="F5" s="7" t="s">
        <v>18</v>
      </c>
      <c r="G5" s="7" t="s">
        <v>19</v>
      </c>
      <c r="H5" s="8" t="s">
        <v>20</v>
      </c>
      <c r="I5" s="8" t="s">
        <v>21</v>
      </c>
      <c r="J5" s="8"/>
      <c r="K5" s="8" t="s">
        <v>20</v>
      </c>
      <c r="L5" s="8" t="s">
        <v>21</v>
      </c>
      <c r="M5" s="8"/>
      <c r="N5" s="8" t="s">
        <v>20</v>
      </c>
      <c r="O5" s="8" t="s">
        <v>21</v>
      </c>
      <c r="P5" s="8"/>
      <c r="Q5" s="8" t="s">
        <v>20</v>
      </c>
      <c r="R5" s="8" t="s">
        <v>21</v>
      </c>
      <c r="S5" s="8"/>
      <c r="T5" s="8" t="s">
        <v>20</v>
      </c>
      <c r="U5" s="8" t="s">
        <v>21</v>
      </c>
      <c r="V5" s="8"/>
      <c r="W5" s="8" t="s">
        <v>20</v>
      </c>
      <c r="X5" s="8" t="s">
        <v>21</v>
      </c>
      <c r="Y5" s="8"/>
      <c r="Z5" s="8" t="s">
        <v>20</v>
      </c>
      <c r="AA5" s="8" t="s">
        <v>21</v>
      </c>
      <c r="AB5" s="8"/>
      <c r="AC5" s="8" t="s">
        <v>20</v>
      </c>
      <c r="AD5" s="8" t="s">
        <v>21</v>
      </c>
      <c r="AE5" s="8"/>
      <c r="AF5" s="8" t="s">
        <v>20</v>
      </c>
      <c r="AG5" s="8" t="s">
        <v>21</v>
      </c>
      <c r="AH5" s="8"/>
      <c r="AI5" s="8" t="s">
        <v>20</v>
      </c>
      <c r="AJ5" s="8" t="s">
        <v>21</v>
      </c>
      <c r="AK5" s="8"/>
      <c r="AL5" s="8" t="s">
        <v>20</v>
      </c>
      <c r="AM5" s="8" t="s">
        <v>21</v>
      </c>
    </row>
    <row r="6" ht="34.5" customHeight="1">
      <c r="A6" s="1"/>
      <c r="B6" s="10" t="s">
        <v>108</v>
      </c>
      <c r="C6" s="11" t="s">
        <v>109</v>
      </c>
      <c r="D6" s="12" t="s">
        <v>110</v>
      </c>
      <c r="E6" s="13" t="s">
        <v>111</v>
      </c>
      <c r="F6" s="13" t="s">
        <v>30</v>
      </c>
      <c r="G6" s="13">
        <v>2.0</v>
      </c>
      <c r="H6" s="26"/>
      <c r="I6" s="26">
        <f t="shared" ref="I6:I20" si="1">G6-H6</f>
        <v>2</v>
      </c>
      <c r="J6" s="17"/>
      <c r="K6" s="26"/>
      <c r="L6" s="26">
        <f t="shared" ref="L6:L20" si="2">I6-K6</f>
        <v>2</v>
      </c>
      <c r="M6" s="17"/>
      <c r="N6" s="26"/>
      <c r="O6" s="26">
        <f t="shared" ref="O6:O20" si="3">L6-N6</f>
        <v>2</v>
      </c>
      <c r="P6" s="17"/>
      <c r="Q6" s="26"/>
      <c r="R6" s="26">
        <f t="shared" ref="R6:R20" si="4">O6-Q6</f>
        <v>2</v>
      </c>
      <c r="S6" s="17"/>
      <c r="T6" s="26"/>
      <c r="U6" s="26">
        <f t="shared" ref="U6:U20" si="5">R6-T6</f>
        <v>2</v>
      </c>
      <c r="V6" s="17"/>
      <c r="W6" s="26"/>
      <c r="X6" s="26">
        <f t="shared" ref="X6:X20" si="6">U6-W6</f>
        <v>2</v>
      </c>
      <c r="Y6" s="17"/>
      <c r="Z6" s="26"/>
      <c r="AA6" s="26">
        <f t="shared" ref="AA6:AA20" si="7">X6-Z6</f>
        <v>2</v>
      </c>
      <c r="AB6" s="17"/>
      <c r="AC6" s="26"/>
      <c r="AD6" s="26">
        <f t="shared" ref="AD6:AD20" si="8">AA6-AC6</f>
        <v>2</v>
      </c>
      <c r="AE6" s="17"/>
      <c r="AF6" s="26"/>
      <c r="AG6" s="26">
        <f t="shared" ref="AG6:AG20" si="9">AD6-AF6</f>
        <v>2</v>
      </c>
      <c r="AH6" s="17"/>
      <c r="AI6" s="26"/>
      <c r="AJ6" s="26">
        <f t="shared" ref="AJ6:AJ20" si="10">AG6-AI6</f>
        <v>2</v>
      </c>
      <c r="AK6" s="17"/>
      <c r="AL6" s="18">
        <f t="shared" ref="AL6:AL20" si="11">H6+K6+N6+Q6+T6+W6+Z6+AC6+AF6+AI6</f>
        <v>0</v>
      </c>
      <c r="AM6" s="18">
        <f t="shared" ref="AM6:AM20" si="12">G6-AL6</f>
        <v>2</v>
      </c>
    </row>
    <row r="7" ht="34.5" customHeight="1">
      <c r="A7" s="1"/>
      <c r="B7" s="19"/>
      <c r="C7" s="19"/>
      <c r="D7" s="12" t="s">
        <v>112</v>
      </c>
      <c r="E7" s="13" t="s">
        <v>111</v>
      </c>
      <c r="F7" s="13" t="s">
        <v>30</v>
      </c>
      <c r="G7" s="13">
        <v>3.0</v>
      </c>
      <c r="H7" s="26"/>
      <c r="I7" s="26">
        <f t="shared" si="1"/>
        <v>3</v>
      </c>
      <c r="J7" s="17"/>
      <c r="K7" s="26"/>
      <c r="L7" s="26">
        <f t="shared" si="2"/>
        <v>3</v>
      </c>
      <c r="M7" s="17"/>
      <c r="N7" s="26"/>
      <c r="O7" s="26">
        <f t="shared" si="3"/>
        <v>3</v>
      </c>
      <c r="P7" s="17"/>
      <c r="Q7" s="26"/>
      <c r="R7" s="26">
        <f t="shared" si="4"/>
        <v>3</v>
      </c>
      <c r="S7" s="17"/>
      <c r="T7" s="26"/>
      <c r="U7" s="26">
        <f t="shared" si="5"/>
        <v>3</v>
      </c>
      <c r="V7" s="17"/>
      <c r="W7" s="26"/>
      <c r="X7" s="26">
        <f t="shared" si="6"/>
        <v>3</v>
      </c>
      <c r="Y7" s="17"/>
      <c r="Z7" s="26"/>
      <c r="AA7" s="26">
        <f t="shared" si="7"/>
        <v>3</v>
      </c>
      <c r="AB7" s="17"/>
      <c r="AC7" s="26"/>
      <c r="AD7" s="26">
        <f t="shared" si="8"/>
        <v>3</v>
      </c>
      <c r="AE7" s="17"/>
      <c r="AF7" s="26"/>
      <c r="AG7" s="26">
        <f t="shared" si="9"/>
        <v>3</v>
      </c>
      <c r="AH7" s="17"/>
      <c r="AI7" s="26"/>
      <c r="AJ7" s="26">
        <f t="shared" si="10"/>
        <v>3</v>
      </c>
      <c r="AK7" s="17"/>
      <c r="AL7" s="18">
        <f t="shared" si="11"/>
        <v>0</v>
      </c>
      <c r="AM7" s="18">
        <f t="shared" si="12"/>
        <v>3</v>
      </c>
    </row>
    <row r="8" ht="21.75" customHeight="1">
      <c r="A8" s="1"/>
      <c r="B8" s="20"/>
      <c r="C8" s="20"/>
      <c r="D8" s="12" t="s">
        <v>113</v>
      </c>
      <c r="E8" s="13" t="s">
        <v>111</v>
      </c>
      <c r="F8" s="13" t="s">
        <v>30</v>
      </c>
      <c r="G8" s="13">
        <v>1.0</v>
      </c>
      <c r="H8" s="26"/>
      <c r="I8" s="26">
        <f t="shared" si="1"/>
        <v>1</v>
      </c>
      <c r="J8" s="17"/>
      <c r="K8" s="26"/>
      <c r="L8" s="26">
        <f t="shared" si="2"/>
        <v>1</v>
      </c>
      <c r="M8" s="17"/>
      <c r="N8" s="26"/>
      <c r="O8" s="26">
        <f t="shared" si="3"/>
        <v>1</v>
      </c>
      <c r="P8" s="17"/>
      <c r="Q8" s="26"/>
      <c r="R8" s="26">
        <f t="shared" si="4"/>
        <v>1</v>
      </c>
      <c r="S8" s="17"/>
      <c r="T8" s="26"/>
      <c r="U8" s="26">
        <f t="shared" si="5"/>
        <v>1</v>
      </c>
      <c r="V8" s="17"/>
      <c r="W8" s="26"/>
      <c r="X8" s="26">
        <f t="shared" si="6"/>
        <v>1</v>
      </c>
      <c r="Y8" s="17"/>
      <c r="Z8" s="26"/>
      <c r="AA8" s="26">
        <f t="shared" si="7"/>
        <v>1</v>
      </c>
      <c r="AB8" s="17"/>
      <c r="AC8" s="26"/>
      <c r="AD8" s="26">
        <f t="shared" si="8"/>
        <v>1</v>
      </c>
      <c r="AE8" s="17"/>
      <c r="AF8" s="26"/>
      <c r="AG8" s="26">
        <f t="shared" si="9"/>
        <v>1</v>
      </c>
      <c r="AH8" s="17"/>
      <c r="AI8" s="26"/>
      <c r="AJ8" s="26">
        <f t="shared" si="10"/>
        <v>1</v>
      </c>
      <c r="AK8" s="17"/>
      <c r="AL8" s="18">
        <f t="shared" si="11"/>
        <v>0</v>
      </c>
      <c r="AM8" s="18">
        <f t="shared" si="12"/>
        <v>1</v>
      </c>
    </row>
    <row r="9" ht="21.75" customHeight="1">
      <c r="A9" s="1"/>
      <c r="B9" s="10" t="s">
        <v>114</v>
      </c>
      <c r="C9" s="11" t="s">
        <v>115</v>
      </c>
      <c r="D9" s="12" t="s">
        <v>116</v>
      </c>
      <c r="E9" s="13" t="s">
        <v>111</v>
      </c>
      <c r="F9" s="13" t="s">
        <v>30</v>
      </c>
      <c r="G9" s="13">
        <v>4.0</v>
      </c>
      <c r="H9" s="26"/>
      <c r="I9" s="26">
        <f t="shared" si="1"/>
        <v>4</v>
      </c>
      <c r="J9" s="17"/>
      <c r="K9" s="26"/>
      <c r="L9" s="26">
        <f t="shared" si="2"/>
        <v>4</v>
      </c>
      <c r="M9" s="17"/>
      <c r="N9" s="26"/>
      <c r="O9" s="26">
        <f t="shared" si="3"/>
        <v>4</v>
      </c>
      <c r="P9" s="17"/>
      <c r="Q9" s="26"/>
      <c r="R9" s="26">
        <f t="shared" si="4"/>
        <v>4</v>
      </c>
      <c r="S9" s="17"/>
      <c r="T9" s="26"/>
      <c r="U9" s="26">
        <f t="shared" si="5"/>
        <v>4</v>
      </c>
      <c r="V9" s="17"/>
      <c r="W9" s="26"/>
      <c r="X9" s="26">
        <f t="shared" si="6"/>
        <v>4</v>
      </c>
      <c r="Y9" s="17"/>
      <c r="Z9" s="26"/>
      <c r="AA9" s="26">
        <f t="shared" si="7"/>
        <v>4</v>
      </c>
      <c r="AB9" s="17"/>
      <c r="AC9" s="26"/>
      <c r="AD9" s="26">
        <f t="shared" si="8"/>
        <v>4</v>
      </c>
      <c r="AE9" s="17"/>
      <c r="AF9" s="26"/>
      <c r="AG9" s="26">
        <f t="shared" si="9"/>
        <v>4</v>
      </c>
      <c r="AH9" s="17"/>
      <c r="AI9" s="26"/>
      <c r="AJ9" s="26">
        <f t="shared" si="10"/>
        <v>4</v>
      </c>
      <c r="AK9" s="17"/>
      <c r="AL9" s="18">
        <f t="shared" si="11"/>
        <v>0</v>
      </c>
      <c r="AM9" s="18">
        <f t="shared" si="12"/>
        <v>4</v>
      </c>
    </row>
    <row r="10" ht="21.75" customHeight="1">
      <c r="A10" s="1"/>
      <c r="B10" s="19"/>
      <c r="C10" s="19"/>
      <c r="D10" s="12" t="s">
        <v>117</v>
      </c>
      <c r="E10" s="13" t="s">
        <v>111</v>
      </c>
      <c r="F10" s="13" t="s">
        <v>30</v>
      </c>
      <c r="G10" s="13">
        <v>3.0</v>
      </c>
      <c r="H10" s="26"/>
      <c r="I10" s="26">
        <f t="shared" si="1"/>
        <v>3</v>
      </c>
      <c r="J10" s="17"/>
      <c r="K10" s="26"/>
      <c r="L10" s="26">
        <f t="shared" si="2"/>
        <v>3</v>
      </c>
      <c r="M10" s="17"/>
      <c r="N10" s="26"/>
      <c r="O10" s="26">
        <f t="shared" si="3"/>
        <v>3</v>
      </c>
      <c r="P10" s="17"/>
      <c r="Q10" s="26"/>
      <c r="R10" s="26">
        <f t="shared" si="4"/>
        <v>3</v>
      </c>
      <c r="S10" s="17"/>
      <c r="T10" s="26"/>
      <c r="U10" s="26">
        <f t="shared" si="5"/>
        <v>3</v>
      </c>
      <c r="V10" s="17"/>
      <c r="W10" s="26"/>
      <c r="X10" s="26">
        <f t="shared" si="6"/>
        <v>3</v>
      </c>
      <c r="Y10" s="17"/>
      <c r="Z10" s="26"/>
      <c r="AA10" s="26">
        <f t="shared" si="7"/>
        <v>3</v>
      </c>
      <c r="AB10" s="17"/>
      <c r="AC10" s="26"/>
      <c r="AD10" s="26">
        <f t="shared" si="8"/>
        <v>3</v>
      </c>
      <c r="AE10" s="17"/>
      <c r="AF10" s="26"/>
      <c r="AG10" s="26">
        <f t="shared" si="9"/>
        <v>3</v>
      </c>
      <c r="AH10" s="17"/>
      <c r="AI10" s="26"/>
      <c r="AJ10" s="26">
        <f t="shared" si="10"/>
        <v>3</v>
      </c>
      <c r="AK10" s="17"/>
      <c r="AL10" s="18">
        <f t="shared" si="11"/>
        <v>0</v>
      </c>
      <c r="AM10" s="18">
        <f t="shared" si="12"/>
        <v>3</v>
      </c>
    </row>
    <row r="11" ht="34.5" customHeight="1">
      <c r="A11" s="1"/>
      <c r="B11" s="20"/>
      <c r="C11" s="20"/>
      <c r="D11" s="12" t="s">
        <v>118</v>
      </c>
      <c r="E11" s="13" t="s">
        <v>111</v>
      </c>
      <c r="F11" s="13" t="s">
        <v>30</v>
      </c>
      <c r="G11" s="13">
        <v>3.0</v>
      </c>
      <c r="H11" s="26"/>
      <c r="I11" s="26">
        <f t="shared" si="1"/>
        <v>3</v>
      </c>
      <c r="J11" s="17"/>
      <c r="K11" s="26"/>
      <c r="L11" s="26">
        <f t="shared" si="2"/>
        <v>3</v>
      </c>
      <c r="M11" s="17"/>
      <c r="N11" s="26"/>
      <c r="O11" s="26">
        <f t="shared" si="3"/>
        <v>3</v>
      </c>
      <c r="P11" s="17"/>
      <c r="Q11" s="26"/>
      <c r="R11" s="26">
        <f t="shared" si="4"/>
        <v>3</v>
      </c>
      <c r="S11" s="17"/>
      <c r="T11" s="26"/>
      <c r="U11" s="26">
        <f t="shared" si="5"/>
        <v>3</v>
      </c>
      <c r="V11" s="17"/>
      <c r="W11" s="26"/>
      <c r="X11" s="26">
        <f t="shared" si="6"/>
        <v>3</v>
      </c>
      <c r="Y11" s="17"/>
      <c r="Z11" s="26"/>
      <c r="AA11" s="26">
        <f t="shared" si="7"/>
        <v>3</v>
      </c>
      <c r="AB11" s="17"/>
      <c r="AC11" s="26"/>
      <c r="AD11" s="26">
        <f t="shared" si="8"/>
        <v>3</v>
      </c>
      <c r="AE11" s="17"/>
      <c r="AF11" s="26"/>
      <c r="AG11" s="26">
        <f t="shared" si="9"/>
        <v>3</v>
      </c>
      <c r="AH11" s="17"/>
      <c r="AI11" s="26"/>
      <c r="AJ11" s="26">
        <f t="shared" si="10"/>
        <v>3</v>
      </c>
      <c r="AK11" s="17"/>
      <c r="AL11" s="18">
        <f t="shared" si="11"/>
        <v>0</v>
      </c>
      <c r="AM11" s="18">
        <f t="shared" si="12"/>
        <v>3</v>
      </c>
    </row>
    <row r="12" ht="24.75" customHeight="1">
      <c r="A12" s="1"/>
      <c r="B12" s="10" t="s">
        <v>119</v>
      </c>
      <c r="C12" s="11" t="s">
        <v>120</v>
      </c>
      <c r="D12" s="12" t="s">
        <v>121</v>
      </c>
      <c r="E12" s="13" t="s">
        <v>111</v>
      </c>
      <c r="F12" s="13" t="s">
        <v>30</v>
      </c>
      <c r="G12" s="13">
        <v>3.0</v>
      </c>
      <c r="H12" s="26"/>
      <c r="I12" s="26">
        <f t="shared" si="1"/>
        <v>3</v>
      </c>
      <c r="J12" s="17"/>
      <c r="K12" s="26"/>
      <c r="L12" s="26">
        <f t="shared" si="2"/>
        <v>3</v>
      </c>
      <c r="M12" s="17"/>
      <c r="N12" s="26"/>
      <c r="O12" s="26">
        <f t="shared" si="3"/>
        <v>3</v>
      </c>
      <c r="P12" s="17"/>
      <c r="Q12" s="26"/>
      <c r="R12" s="26">
        <f t="shared" si="4"/>
        <v>3</v>
      </c>
      <c r="S12" s="17"/>
      <c r="T12" s="26"/>
      <c r="U12" s="26">
        <f t="shared" si="5"/>
        <v>3</v>
      </c>
      <c r="V12" s="17"/>
      <c r="W12" s="26"/>
      <c r="X12" s="26">
        <f t="shared" si="6"/>
        <v>3</v>
      </c>
      <c r="Y12" s="17"/>
      <c r="Z12" s="26"/>
      <c r="AA12" s="26">
        <f t="shared" si="7"/>
        <v>3</v>
      </c>
      <c r="AB12" s="17"/>
      <c r="AC12" s="26"/>
      <c r="AD12" s="26">
        <f t="shared" si="8"/>
        <v>3</v>
      </c>
      <c r="AE12" s="17"/>
      <c r="AF12" s="26"/>
      <c r="AG12" s="26">
        <f t="shared" si="9"/>
        <v>3</v>
      </c>
      <c r="AH12" s="17"/>
      <c r="AI12" s="26"/>
      <c r="AJ12" s="26">
        <f t="shared" si="10"/>
        <v>3</v>
      </c>
      <c r="AK12" s="17"/>
      <c r="AL12" s="18">
        <f t="shared" si="11"/>
        <v>0</v>
      </c>
      <c r="AM12" s="18">
        <f t="shared" si="12"/>
        <v>3</v>
      </c>
    </row>
    <row r="13" ht="24.75" customHeight="1">
      <c r="A13" s="1"/>
      <c r="B13" s="19"/>
      <c r="C13" s="19"/>
      <c r="D13" s="12" t="s">
        <v>122</v>
      </c>
      <c r="E13" s="13" t="s">
        <v>111</v>
      </c>
      <c r="F13" s="13" t="s">
        <v>30</v>
      </c>
      <c r="G13" s="13">
        <v>2.0</v>
      </c>
      <c r="H13" s="26"/>
      <c r="I13" s="26">
        <f t="shared" si="1"/>
        <v>2</v>
      </c>
      <c r="J13" s="17"/>
      <c r="K13" s="26"/>
      <c r="L13" s="26">
        <f t="shared" si="2"/>
        <v>2</v>
      </c>
      <c r="M13" s="17"/>
      <c r="N13" s="26"/>
      <c r="O13" s="26">
        <f t="shared" si="3"/>
        <v>2</v>
      </c>
      <c r="P13" s="17"/>
      <c r="Q13" s="26"/>
      <c r="R13" s="26">
        <f t="shared" si="4"/>
        <v>2</v>
      </c>
      <c r="S13" s="17"/>
      <c r="T13" s="26"/>
      <c r="U13" s="26">
        <f t="shared" si="5"/>
        <v>2</v>
      </c>
      <c r="V13" s="17"/>
      <c r="W13" s="26"/>
      <c r="X13" s="26">
        <f t="shared" si="6"/>
        <v>2</v>
      </c>
      <c r="Y13" s="17"/>
      <c r="Z13" s="26"/>
      <c r="AA13" s="26">
        <f t="shared" si="7"/>
        <v>2</v>
      </c>
      <c r="AB13" s="17"/>
      <c r="AC13" s="26"/>
      <c r="AD13" s="26">
        <f t="shared" si="8"/>
        <v>2</v>
      </c>
      <c r="AE13" s="17"/>
      <c r="AF13" s="26"/>
      <c r="AG13" s="26">
        <f t="shared" si="9"/>
        <v>2</v>
      </c>
      <c r="AH13" s="17"/>
      <c r="AI13" s="26"/>
      <c r="AJ13" s="26">
        <f t="shared" si="10"/>
        <v>2</v>
      </c>
      <c r="AK13" s="17"/>
      <c r="AL13" s="18">
        <f t="shared" si="11"/>
        <v>0</v>
      </c>
      <c r="AM13" s="18">
        <f t="shared" si="12"/>
        <v>2</v>
      </c>
    </row>
    <row r="14" ht="24.75" customHeight="1">
      <c r="A14" s="1"/>
      <c r="B14" s="20"/>
      <c r="C14" s="20"/>
      <c r="D14" s="12" t="s">
        <v>123</v>
      </c>
      <c r="E14" s="13" t="s">
        <v>111</v>
      </c>
      <c r="F14" s="13" t="s">
        <v>30</v>
      </c>
      <c r="G14" s="13">
        <v>2.0</v>
      </c>
      <c r="H14" s="26"/>
      <c r="I14" s="26">
        <f t="shared" si="1"/>
        <v>2</v>
      </c>
      <c r="J14" s="17"/>
      <c r="K14" s="26"/>
      <c r="L14" s="26">
        <f t="shared" si="2"/>
        <v>2</v>
      </c>
      <c r="M14" s="17"/>
      <c r="N14" s="26"/>
      <c r="O14" s="26">
        <f t="shared" si="3"/>
        <v>2</v>
      </c>
      <c r="P14" s="17"/>
      <c r="Q14" s="26"/>
      <c r="R14" s="26">
        <f t="shared" si="4"/>
        <v>2</v>
      </c>
      <c r="S14" s="17"/>
      <c r="T14" s="26"/>
      <c r="U14" s="26">
        <f t="shared" si="5"/>
        <v>2</v>
      </c>
      <c r="V14" s="17"/>
      <c r="W14" s="26"/>
      <c r="X14" s="26">
        <f t="shared" si="6"/>
        <v>2</v>
      </c>
      <c r="Y14" s="17"/>
      <c r="Z14" s="26"/>
      <c r="AA14" s="26">
        <f t="shared" si="7"/>
        <v>2</v>
      </c>
      <c r="AB14" s="17"/>
      <c r="AC14" s="26"/>
      <c r="AD14" s="26">
        <f t="shared" si="8"/>
        <v>2</v>
      </c>
      <c r="AE14" s="17"/>
      <c r="AF14" s="26"/>
      <c r="AG14" s="26">
        <f t="shared" si="9"/>
        <v>2</v>
      </c>
      <c r="AH14" s="17"/>
      <c r="AI14" s="26"/>
      <c r="AJ14" s="26">
        <f t="shared" si="10"/>
        <v>2</v>
      </c>
      <c r="AK14" s="17"/>
      <c r="AL14" s="18">
        <f t="shared" si="11"/>
        <v>0</v>
      </c>
      <c r="AM14" s="18">
        <f t="shared" si="12"/>
        <v>2</v>
      </c>
    </row>
    <row r="15" ht="24.75" customHeight="1">
      <c r="A15" s="1"/>
      <c r="B15" s="10" t="s">
        <v>124</v>
      </c>
      <c r="C15" s="11" t="s">
        <v>125</v>
      </c>
      <c r="D15" s="12" t="s">
        <v>126</v>
      </c>
      <c r="E15" s="13" t="s">
        <v>111</v>
      </c>
      <c r="F15" s="13" t="s">
        <v>30</v>
      </c>
      <c r="G15" s="13">
        <v>2.0</v>
      </c>
      <c r="H15" s="26"/>
      <c r="I15" s="26">
        <f t="shared" si="1"/>
        <v>2</v>
      </c>
      <c r="J15" s="17"/>
      <c r="K15" s="26"/>
      <c r="L15" s="26">
        <f t="shared" si="2"/>
        <v>2</v>
      </c>
      <c r="M15" s="17"/>
      <c r="N15" s="26"/>
      <c r="O15" s="26">
        <f t="shared" si="3"/>
        <v>2</v>
      </c>
      <c r="P15" s="17"/>
      <c r="Q15" s="26"/>
      <c r="R15" s="26">
        <f t="shared" si="4"/>
        <v>2</v>
      </c>
      <c r="S15" s="17"/>
      <c r="T15" s="26"/>
      <c r="U15" s="26">
        <f t="shared" si="5"/>
        <v>2</v>
      </c>
      <c r="V15" s="17"/>
      <c r="W15" s="26"/>
      <c r="X15" s="26">
        <f t="shared" si="6"/>
        <v>2</v>
      </c>
      <c r="Y15" s="17"/>
      <c r="Z15" s="26"/>
      <c r="AA15" s="26">
        <f t="shared" si="7"/>
        <v>2</v>
      </c>
      <c r="AB15" s="17"/>
      <c r="AC15" s="26"/>
      <c r="AD15" s="26">
        <f t="shared" si="8"/>
        <v>2</v>
      </c>
      <c r="AE15" s="17"/>
      <c r="AF15" s="26"/>
      <c r="AG15" s="26">
        <f t="shared" si="9"/>
        <v>2</v>
      </c>
      <c r="AH15" s="17"/>
      <c r="AI15" s="26"/>
      <c r="AJ15" s="26">
        <f t="shared" si="10"/>
        <v>2</v>
      </c>
      <c r="AK15" s="17"/>
      <c r="AL15" s="18">
        <f t="shared" si="11"/>
        <v>0</v>
      </c>
      <c r="AM15" s="18">
        <f t="shared" si="12"/>
        <v>2</v>
      </c>
    </row>
    <row r="16" ht="34.5" customHeight="1">
      <c r="A16" s="1"/>
      <c r="B16" s="19"/>
      <c r="C16" s="19"/>
      <c r="D16" s="12" t="s">
        <v>127</v>
      </c>
      <c r="E16" s="13" t="s">
        <v>111</v>
      </c>
      <c r="F16" s="13" t="s">
        <v>30</v>
      </c>
      <c r="G16" s="13">
        <v>3.0</v>
      </c>
      <c r="H16" s="26"/>
      <c r="I16" s="26">
        <f t="shared" si="1"/>
        <v>3</v>
      </c>
      <c r="J16" s="17"/>
      <c r="K16" s="26"/>
      <c r="L16" s="26">
        <f t="shared" si="2"/>
        <v>3</v>
      </c>
      <c r="M16" s="17"/>
      <c r="N16" s="26"/>
      <c r="O16" s="26">
        <f t="shared" si="3"/>
        <v>3</v>
      </c>
      <c r="P16" s="17"/>
      <c r="Q16" s="26"/>
      <c r="R16" s="26">
        <f t="shared" si="4"/>
        <v>3</v>
      </c>
      <c r="S16" s="17"/>
      <c r="T16" s="26"/>
      <c r="U16" s="26">
        <f t="shared" si="5"/>
        <v>3</v>
      </c>
      <c r="V16" s="17"/>
      <c r="W16" s="26"/>
      <c r="X16" s="26">
        <f t="shared" si="6"/>
        <v>3</v>
      </c>
      <c r="Y16" s="17"/>
      <c r="Z16" s="26"/>
      <c r="AA16" s="26">
        <f t="shared" si="7"/>
        <v>3</v>
      </c>
      <c r="AB16" s="17"/>
      <c r="AC16" s="26"/>
      <c r="AD16" s="26">
        <f t="shared" si="8"/>
        <v>3</v>
      </c>
      <c r="AE16" s="17"/>
      <c r="AF16" s="26"/>
      <c r="AG16" s="26">
        <f t="shared" si="9"/>
        <v>3</v>
      </c>
      <c r="AH16" s="17"/>
      <c r="AI16" s="26"/>
      <c r="AJ16" s="26">
        <f t="shared" si="10"/>
        <v>3</v>
      </c>
      <c r="AK16" s="17"/>
      <c r="AL16" s="18">
        <f t="shared" si="11"/>
        <v>0</v>
      </c>
      <c r="AM16" s="18">
        <f t="shared" si="12"/>
        <v>3</v>
      </c>
    </row>
    <row r="17" ht="34.5" customHeight="1">
      <c r="A17" s="9"/>
      <c r="B17" s="20"/>
      <c r="C17" s="20"/>
      <c r="D17" s="12" t="s">
        <v>128</v>
      </c>
      <c r="E17" s="13" t="s">
        <v>111</v>
      </c>
      <c r="F17" s="13" t="s">
        <v>30</v>
      </c>
      <c r="G17" s="13">
        <v>4.0</v>
      </c>
      <c r="H17" s="26"/>
      <c r="I17" s="26">
        <f t="shared" si="1"/>
        <v>4</v>
      </c>
      <c r="J17" s="17"/>
      <c r="K17" s="26"/>
      <c r="L17" s="26">
        <f t="shared" si="2"/>
        <v>4</v>
      </c>
      <c r="M17" s="17"/>
      <c r="N17" s="26"/>
      <c r="O17" s="26">
        <f t="shared" si="3"/>
        <v>4</v>
      </c>
      <c r="P17" s="17"/>
      <c r="Q17" s="26"/>
      <c r="R17" s="26">
        <f t="shared" si="4"/>
        <v>4</v>
      </c>
      <c r="S17" s="17"/>
      <c r="T17" s="26"/>
      <c r="U17" s="26">
        <f t="shared" si="5"/>
        <v>4</v>
      </c>
      <c r="V17" s="17"/>
      <c r="W17" s="26"/>
      <c r="X17" s="26">
        <f t="shared" si="6"/>
        <v>4</v>
      </c>
      <c r="Y17" s="17"/>
      <c r="Z17" s="26"/>
      <c r="AA17" s="26">
        <f t="shared" si="7"/>
        <v>4</v>
      </c>
      <c r="AB17" s="17"/>
      <c r="AC17" s="26"/>
      <c r="AD17" s="26">
        <f t="shared" si="8"/>
        <v>4</v>
      </c>
      <c r="AE17" s="17"/>
      <c r="AF17" s="26"/>
      <c r="AG17" s="26">
        <f t="shared" si="9"/>
        <v>4</v>
      </c>
      <c r="AH17" s="17"/>
      <c r="AI17" s="26"/>
      <c r="AJ17" s="26">
        <f t="shared" si="10"/>
        <v>4</v>
      </c>
      <c r="AK17" s="17"/>
      <c r="AL17" s="18">
        <f t="shared" si="11"/>
        <v>0</v>
      </c>
      <c r="AM17" s="18">
        <f t="shared" si="12"/>
        <v>4</v>
      </c>
    </row>
    <row r="18" ht="34.5" customHeight="1">
      <c r="A18" s="9"/>
      <c r="B18" s="10" t="s">
        <v>129</v>
      </c>
      <c r="C18" s="11" t="s">
        <v>130</v>
      </c>
      <c r="D18" s="12" t="s">
        <v>131</v>
      </c>
      <c r="E18" s="13" t="s">
        <v>111</v>
      </c>
      <c r="F18" s="13" t="s">
        <v>30</v>
      </c>
      <c r="G18" s="13">
        <v>3.0</v>
      </c>
      <c r="H18" s="26"/>
      <c r="I18" s="26">
        <f t="shared" si="1"/>
        <v>3</v>
      </c>
      <c r="J18" s="17"/>
      <c r="K18" s="26"/>
      <c r="L18" s="26">
        <f t="shared" si="2"/>
        <v>3</v>
      </c>
      <c r="M18" s="17"/>
      <c r="N18" s="26"/>
      <c r="O18" s="26">
        <f t="shared" si="3"/>
        <v>3</v>
      </c>
      <c r="P18" s="17"/>
      <c r="Q18" s="26"/>
      <c r="R18" s="26">
        <f t="shared" si="4"/>
        <v>3</v>
      </c>
      <c r="S18" s="17"/>
      <c r="T18" s="26"/>
      <c r="U18" s="26">
        <f t="shared" si="5"/>
        <v>3</v>
      </c>
      <c r="V18" s="17"/>
      <c r="W18" s="26"/>
      <c r="X18" s="26">
        <f t="shared" si="6"/>
        <v>3</v>
      </c>
      <c r="Y18" s="17"/>
      <c r="Z18" s="26"/>
      <c r="AA18" s="26">
        <f t="shared" si="7"/>
        <v>3</v>
      </c>
      <c r="AB18" s="17"/>
      <c r="AC18" s="26"/>
      <c r="AD18" s="26">
        <f t="shared" si="8"/>
        <v>3</v>
      </c>
      <c r="AE18" s="17"/>
      <c r="AF18" s="26"/>
      <c r="AG18" s="26">
        <f t="shared" si="9"/>
        <v>3</v>
      </c>
      <c r="AH18" s="17"/>
      <c r="AI18" s="26"/>
      <c r="AJ18" s="26">
        <f t="shared" si="10"/>
        <v>3</v>
      </c>
      <c r="AK18" s="17"/>
      <c r="AL18" s="18">
        <f t="shared" si="11"/>
        <v>0</v>
      </c>
      <c r="AM18" s="18">
        <f t="shared" si="12"/>
        <v>3</v>
      </c>
    </row>
    <row r="19" ht="34.5" customHeight="1">
      <c r="A19" s="9"/>
      <c r="B19" s="19"/>
      <c r="C19" s="19"/>
      <c r="D19" s="12" t="s">
        <v>132</v>
      </c>
      <c r="E19" s="13" t="s">
        <v>111</v>
      </c>
      <c r="F19" s="13" t="s">
        <v>30</v>
      </c>
      <c r="G19" s="13">
        <v>3.0</v>
      </c>
      <c r="H19" s="26"/>
      <c r="I19" s="26">
        <f t="shared" si="1"/>
        <v>3</v>
      </c>
      <c r="J19" s="17"/>
      <c r="K19" s="26"/>
      <c r="L19" s="26">
        <f t="shared" si="2"/>
        <v>3</v>
      </c>
      <c r="M19" s="17"/>
      <c r="N19" s="26"/>
      <c r="O19" s="26">
        <f t="shared" si="3"/>
        <v>3</v>
      </c>
      <c r="P19" s="17"/>
      <c r="Q19" s="26"/>
      <c r="R19" s="26">
        <f t="shared" si="4"/>
        <v>3</v>
      </c>
      <c r="S19" s="17"/>
      <c r="T19" s="26"/>
      <c r="U19" s="26">
        <f t="shared" si="5"/>
        <v>3</v>
      </c>
      <c r="V19" s="17"/>
      <c r="W19" s="26"/>
      <c r="X19" s="26">
        <f t="shared" si="6"/>
        <v>3</v>
      </c>
      <c r="Y19" s="17"/>
      <c r="Z19" s="26"/>
      <c r="AA19" s="26">
        <f t="shared" si="7"/>
        <v>3</v>
      </c>
      <c r="AB19" s="17"/>
      <c r="AC19" s="26"/>
      <c r="AD19" s="26">
        <f t="shared" si="8"/>
        <v>3</v>
      </c>
      <c r="AE19" s="17"/>
      <c r="AF19" s="26"/>
      <c r="AG19" s="26">
        <f t="shared" si="9"/>
        <v>3</v>
      </c>
      <c r="AH19" s="17"/>
      <c r="AI19" s="26"/>
      <c r="AJ19" s="26">
        <f t="shared" si="10"/>
        <v>3</v>
      </c>
      <c r="AK19" s="17"/>
      <c r="AL19" s="18">
        <f t="shared" si="11"/>
        <v>0</v>
      </c>
      <c r="AM19" s="18">
        <f t="shared" si="12"/>
        <v>3</v>
      </c>
    </row>
    <row r="20" ht="34.5" customHeight="1">
      <c r="A20" s="9"/>
      <c r="B20" s="20"/>
      <c r="C20" s="20"/>
      <c r="D20" s="12" t="s">
        <v>133</v>
      </c>
      <c r="E20" s="13" t="s">
        <v>111</v>
      </c>
      <c r="F20" s="13" t="s">
        <v>30</v>
      </c>
      <c r="G20" s="13">
        <v>2.0</v>
      </c>
      <c r="H20" s="26"/>
      <c r="I20" s="26">
        <f t="shared" si="1"/>
        <v>2</v>
      </c>
      <c r="J20" s="17"/>
      <c r="K20" s="26"/>
      <c r="L20" s="26">
        <f t="shared" si="2"/>
        <v>2</v>
      </c>
      <c r="M20" s="17"/>
      <c r="N20" s="26"/>
      <c r="O20" s="26">
        <f t="shared" si="3"/>
        <v>2</v>
      </c>
      <c r="P20" s="17"/>
      <c r="Q20" s="26"/>
      <c r="R20" s="26">
        <f t="shared" si="4"/>
        <v>2</v>
      </c>
      <c r="S20" s="17"/>
      <c r="T20" s="26"/>
      <c r="U20" s="26">
        <f t="shared" si="5"/>
        <v>2</v>
      </c>
      <c r="V20" s="17"/>
      <c r="W20" s="26"/>
      <c r="X20" s="26">
        <f t="shared" si="6"/>
        <v>2</v>
      </c>
      <c r="Y20" s="17"/>
      <c r="Z20" s="26"/>
      <c r="AA20" s="26">
        <f t="shared" si="7"/>
        <v>2</v>
      </c>
      <c r="AB20" s="17"/>
      <c r="AC20" s="26"/>
      <c r="AD20" s="26">
        <f t="shared" si="8"/>
        <v>2</v>
      </c>
      <c r="AE20" s="17"/>
      <c r="AF20" s="26"/>
      <c r="AG20" s="26">
        <f t="shared" si="9"/>
        <v>2</v>
      </c>
      <c r="AH20" s="17"/>
      <c r="AI20" s="26"/>
      <c r="AJ20" s="26">
        <f t="shared" si="10"/>
        <v>2</v>
      </c>
      <c r="AK20" s="17"/>
      <c r="AL20" s="18">
        <f t="shared" si="11"/>
        <v>0</v>
      </c>
      <c r="AM20" s="18">
        <f t="shared" si="12"/>
        <v>2</v>
      </c>
    </row>
    <row r="21" ht="15.75" customHeight="1">
      <c r="A21" s="1"/>
      <c r="B21" s="27"/>
      <c r="C21" s="27"/>
      <c r="D21" s="27"/>
      <c r="E21" s="28"/>
      <c r="F21" s="28"/>
      <c r="G21" s="29" t="s">
        <v>134</v>
      </c>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row>
  </sheetData>
  <mergeCells count="21">
    <mergeCell ref="AC4:AD4"/>
    <mergeCell ref="AF4:AG4"/>
    <mergeCell ref="AI4:AJ4"/>
    <mergeCell ref="H4:I4"/>
    <mergeCell ref="K4:L4"/>
    <mergeCell ref="N4:O4"/>
    <mergeCell ref="Q4:R4"/>
    <mergeCell ref="T4:U4"/>
    <mergeCell ref="W4:X4"/>
    <mergeCell ref="Z4:AA4"/>
    <mergeCell ref="C15:C17"/>
    <mergeCell ref="C18:C20"/>
    <mergeCell ref="C6:C8"/>
    <mergeCell ref="B6:B8"/>
    <mergeCell ref="C9:C11"/>
    <mergeCell ref="B9:B11"/>
    <mergeCell ref="B12:B14"/>
    <mergeCell ref="C12:C14"/>
    <mergeCell ref="B15:B17"/>
    <mergeCell ref="B18:B20"/>
    <mergeCell ref="AL4:AM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5"/>
    <col customWidth="1" min="2" max="2" width="14.38"/>
    <col customWidth="1" min="3" max="3" width="40.25"/>
    <col customWidth="1" min="4" max="4" width="35.5"/>
    <col customWidth="1" min="5" max="5" width="21.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row>
    <row r="5">
      <c r="A5" s="1"/>
      <c r="B5" s="7" t="s">
        <v>14</v>
      </c>
      <c r="C5" s="7" t="s">
        <v>15</v>
      </c>
      <c r="D5" s="7" t="s">
        <v>16</v>
      </c>
      <c r="E5" s="7" t="s">
        <v>17</v>
      </c>
      <c r="F5" s="7" t="s">
        <v>18</v>
      </c>
      <c r="G5" s="7" t="s">
        <v>19</v>
      </c>
      <c r="H5" s="8" t="s">
        <v>20</v>
      </c>
      <c r="I5" s="8" t="s">
        <v>21</v>
      </c>
      <c r="J5" s="8"/>
      <c r="K5" s="8" t="s">
        <v>20</v>
      </c>
      <c r="L5" s="8" t="s">
        <v>21</v>
      </c>
      <c r="M5" s="8"/>
      <c r="N5" s="8" t="s">
        <v>20</v>
      </c>
      <c r="O5" s="8" t="s">
        <v>21</v>
      </c>
      <c r="P5" s="8"/>
      <c r="Q5" s="8" t="s">
        <v>20</v>
      </c>
      <c r="R5" s="8" t="s">
        <v>21</v>
      </c>
      <c r="S5" s="8"/>
      <c r="T5" s="8" t="s">
        <v>20</v>
      </c>
      <c r="U5" s="8" t="s">
        <v>21</v>
      </c>
      <c r="V5" s="8"/>
      <c r="W5" s="8" t="s">
        <v>20</v>
      </c>
      <c r="X5" s="8" t="s">
        <v>21</v>
      </c>
      <c r="Y5" s="8"/>
      <c r="Z5" s="8" t="s">
        <v>20</v>
      </c>
      <c r="AA5" s="8" t="s">
        <v>21</v>
      </c>
      <c r="AB5" s="8"/>
      <c r="AC5" s="8" t="s">
        <v>20</v>
      </c>
      <c r="AD5" s="8" t="s">
        <v>21</v>
      </c>
      <c r="AE5" s="8"/>
      <c r="AF5" s="8" t="s">
        <v>20</v>
      </c>
      <c r="AG5" s="8" t="s">
        <v>21</v>
      </c>
      <c r="AH5" s="8"/>
      <c r="AI5" s="8" t="s">
        <v>20</v>
      </c>
      <c r="AJ5" s="8" t="s">
        <v>21</v>
      </c>
      <c r="AK5" s="8"/>
      <c r="AL5" s="8" t="s">
        <v>20</v>
      </c>
      <c r="AM5" s="8" t="s">
        <v>21</v>
      </c>
    </row>
    <row r="6" ht="30.0" customHeight="1">
      <c r="A6" s="1"/>
      <c r="B6" s="10" t="s">
        <v>135</v>
      </c>
      <c r="C6" s="11" t="s">
        <v>136</v>
      </c>
      <c r="D6" s="12" t="s">
        <v>137</v>
      </c>
      <c r="E6" s="13" t="s">
        <v>111</v>
      </c>
      <c r="F6" s="13" t="s">
        <v>30</v>
      </c>
      <c r="G6" s="13">
        <v>3.0</v>
      </c>
      <c r="H6" s="26"/>
      <c r="I6" s="26">
        <f t="shared" ref="I6:I18" si="1">G6-H6</f>
        <v>3</v>
      </c>
      <c r="J6" s="17"/>
      <c r="K6" s="26"/>
      <c r="L6" s="26">
        <f t="shared" ref="L6:L18" si="2">I6-K6</f>
        <v>3</v>
      </c>
      <c r="M6" s="17"/>
      <c r="N6" s="26"/>
      <c r="O6" s="26">
        <f t="shared" ref="O6:O18" si="3">L6-N6</f>
        <v>3</v>
      </c>
      <c r="P6" s="17"/>
      <c r="Q6" s="26"/>
      <c r="R6" s="26">
        <f t="shared" ref="R6:R18" si="4">O6-Q6</f>
        <v>3</v>
      </c>
      <c r="S6" s="17"/>
      <c r="T6" s="26"/>
      <c r="U6" s="26">
        <f t="shared" ref="U6:U18" si="5">R6-T6</f>
        <v>3</v>
      </c>
      <c r="V6" s="17"/>
      <c r="W6" s="26"/>
      <c r="X6" s="26">
        <f t="shared" ref="X6:X18" si="6">U6-W6</f>
        <v>3</v>
      </c>
      <c r="Y6" s="17"/>
      <c r="Z6" s="26"/>
      <c r="AA6" s="26">
        <f t="shared" ref="AA6:AA18" si="7">X6-Z6</f>
        <v>3</v>
      </c>
      <c r="AB6" s="17"/>
      <c r="AC6" s="26"/>
      <c r="AD6" s="26">
        <f t="shared" ref="AD6:AD18" si="8">AA6-AC6</f>
        <v>3</v>
      </c>
      <c r="AE6" s="17"/>
      <c r="AF6" s="26"/>
      <c r="AG6" s="26">
        <f t="shared" ref="AG6:AG18" si="9">AD6-AF6</f>
        <v>3</v>
      </c>
      <c r="AH6" s="17"/>
      <c r="AI6" s="26"/>
      <c r="AJ6" s="26">
        <f t="shared" ref="AJ6:AJ18" si="10">AG6-AI6</f>
        <v>3</v>
      </c>
      <c r="AK6" s="17"/>
      <c r="AL6" s="18">
        <f t="shared" ref="AL6:AL18" si="11">H6+K6+N6+Q6+T6+W6+Z6+AC6+AF6+AI6</f>
        <v>0</v>
      </c>
      <c r="AM6" s="18">
        <f t="shared" ref="AM6:AM18" si="12">G6-AL6</f>
        <v>3</v>
      </c>
    </row>
    <row r="7" ht="30.0" customHeight="1">
      <c r="A7" s="1"/>
      <c r="B7" s="19"/>
      <c r="C7" s="19"/>
      <c r="D7" s="12" t="s">
        <v>138</v>
      </c>
      <c r="E7" s="13" t="s">
        <v>111</v>
      </c>
      <c r="F7" s="13" t="s">
        <v>30</v>
      </c>
      <c r="G7" s="13">
        <v>5.0</v>
      </c>
      <c r="H7" s="26"/>
      <c r="I7" s="26">
        <f t="shared" si="1"/>
        <v>5</v>
      </c>
      <c r="J7" s="17"/>
      <c r="K7" s="26"/>
      <c r="L7" s="26">
        <f t="shared" si="2"/>
        <v>5</v>
      </c>
      <c r="M7" s="17"/>
      <c r="N7" s="26"/>
      <c r="O7" s="26">
        <f t="shared" si="3"/>
        <v>5</v>
      </c>
      <c r="P7" s="17"/>
      <c r="Q7" s="26"/>
      <c r="R7" s="26">
        <f t="shared" si="4"/>
        <v>5</v>
      </c>
      <c r="S7" s="17"/>
      <c r="T7" s="26"/>
      <c r="U7" s="26">
        <f t="shared" si="5"/>
        <v>5</v>
      </c>
      <c r="V7" s="17"/>
      <c r="W7" s="26"/>
      <c r="X7" s="26">
        <f t="shared" si="6"/>
        <v>5</v>
      </c>
      <c r="Y7" s="17"/>
      <c r="Z7" s="26"/>
      <c r="AA7" s="26">
        <f t="shared" si="7"/>
        <v>5</v>
      </c>
      <c r="AB7" s="17"/>
      <c r="AC7" s="26"/>
      <c r="AD7" s="26">
        <f t="shared" si="8"/>
        <v>5</v>
      </c>
      <c r="AE7" s="17"/>
      <c r="AF7" s="26"/>
      <c r="AG7" s="26">
        <f t="shared" si="9"/>
        <v>5</v>
      </c>
      <c r="AH7" s="17"/>
      <c r="AI7" s="26"/>
      <c r="AJ7" s="26">
        <f t="shared" si="10"/>
        <v>5</v>
      </c>
      <c r="AK7" s="17"/>
      <c r="AL7" s="18">
        <f t="shared" si="11"/>
        <v>0</v>
      </c>
      <c r="AM7" s="18">
        <f t="shared" si="12"/>
        <v>5</v>
      </c>
    </row>
    <row r="8" ht="30.0" customHeight="1">
      <c r="A8" s="1"/>
      <c r="B8" s="20"/>
      <c r="C8" s="20"/>
      <c r="D8" s="12" t="s">
        <v>139</v>
      </c>
      <c r="E8" s="13" t="s">
        <v>111</v>
      </c>
      <c r="F8" s="13" t="s">
        <v>30</v>
      </c>
      <c r="G8" s="13">
        <v>6.0</v>
      </c>
      <c r="H8" s="26"/>
      <c r="I8" s="26">
        <f t="shared" si="1"/>
        <v>6</v>
      </c>
      <c r="J8" s="17"/>
      <c r="K8" s="26"/>
      <c r="L8" s="26">
        <f t="shared" si="2"/>
        <v>6</v>
      </c>
      <c r="M8" s="17"/>
      <c r="N8" s="26"/>
      <c r="O8" s="26">
        <f t="shared" si="3"/>
        <v>6</v>
      </c>
      <c r="P8" s="17"/>
      <c r="Q8" s="26"/>
      <c r="R8" s="26">
        <f t="shared" si="4"/>
        <v>6</v>
      </c>
      <c r="S8" s="17"/>
      <c r="T8" s="26"/>
      <c r="U8" s="26">
        <f t="shared" si="5"/>
        <v>6</v>
      </c>
      <c r="V8" s="17"/>
      <c r="W8" s="26"/>
      <c r="X8" s="26">
        <f t="shared" si="6"/>
        <v>6</v>
      </c>
      <c r="Y8" s="17"/>
      <c r="Z8" s="26"/>
      <c r="AA8" s="26">
        <f t="shared" si="7"/>
        <v>6</v>
      </c>
      <c r="AB8" s="17"/>
      <c r="AC8" s="26"/>
      <c r="AD8" s="26">
        <f t="shared" si="8"/>
        <v>6</v>
      </c>
      <c r="AE8" s="17"/>
      <c r="AF8" s="26"/>
      <c r="AG8" s="26">
        <f t="shared" si="9"/>
        <v>6</v>
      </c>
      <c r="AH8" s="17"/>
      <c r="AI8" s="26"/>
      <c r="AJ8" s="26">
        <f t="shared" si="10"/>
        <v>6</v>
      </c>
      <c r="AK8" s="17"/>
      <c r="AL8" s="18">
        <f t="shared" si="11"/>
        <v>0</v>
      </c>
      <c r="AM8" s="18">
        <f t="shared" si="12"/>
        <v>6</v>
      </c>
    </row>
    <row r="9" ht="30.0" customHeight="1">
      <c r="A9" s="1"/>
      <c r="B9" s="10" t="s">
        <v>140</v>
      </c>
      <c r="C9" s="11" t="s">
        <v>141</v>
      </c>
      <c r="D9" s="12" t="s">
        <v>142</v>
      </c>
      <c r="E9" s="13" t="s">
        <v>111</v>
      </c>
      <c r="F9" s="13" t="s">
        <v>30</v>
      </c>
      <c r="G9" s="13">
        <v>3.0</v>
      </c>
      <c r="H9" s="26"/>
      <c r="I9" s="26">
        <f t="shared" si="1"/>
        <v>3</v>
      </c>
      <c r="J9" s="17"/>
      <c r="K9" s="26"/>
      <c r="L9" s="26">
        <f t="shared" si="2"/>
        <v>3</v>
      </c>
      <c r="M9" s="17"/>
      <c r="N9" s="26"/>
      <c r="O9" s="26">
        <f t="shared" si="3"/>
        <v>3</v>
      </c>
      <c r="P9" s="17"/>
      <c r="Q9" s="26"/>
      <c r="R9" s="26">
        <f t="shared" si="4"/>
        <v>3</v>
      </c>
      <c r="S9" s="17"/>
      <c r="T9" s="26"/>
      <c r="U9" s="26">
        <f t="shared" si="5"/>
        <v>3</v>
      </c>
      <c r="V9" s="17"/>
      <c r="W9" s="26"/>
      <c r="X9" s="26">
        <f t="shared" si="6"/>
        <v>3</v>
      </c>
      <c r="Y9" s="17"/>
      <c r="Z9" s="26"/>
      <c r="AA9" s="26">
        <f t="shared" si="7"/>
        <v>3</v>
      </c>
      <c r="AB9" s="17"/>
      <c r="AC9" s="26"/>
      <c r="AD9" s="26">
        <f t="shared" si="8"/>
        <v>3</v>
      </c>
      <c r="AE9" s="17"/>
      <c r="AF9" s="26"/>
      <c r="AG9" s="26">
        <f t="shared" si="9"/>
        <v>3</v>
      </c>
      <c r="AH9" s="17"/>
      <c r="AI9" s="26"/>
      <c r="AJ9" s="26">
        <f t="shared" si="10"/>
        <v>3</v>
      </c>
      <c r="AK9" s="17"/>
      <c r="AL9" s="18">
        <f t="shared" si="11"/>
        <v>0</v>
      </c>
      <c r="AM9" s="18">
        <f t="shared" si="12"/>
        <v>3</v>
      </c>
    </row>
    <row r="10" ht="30.0" customHeight="1">
      <c r="A10" s="1"/>
      <c r="B10" s="19"/>
      <c r="C10" s="19"/>
      <c r="D10" s="12" t="s">
        <v>143</v>
      </c>
      <c r="E10" s="13" t="s">
        <v>111</v>
      </c>
      <c r="F10" s="13" t="s">
        <v>30</v>
      </c>
      <c r="G10" s="13">
        <v>2.0</v>
      </c>
      <c r="H10" s="26"/>
      <c r="I10" s="26">
        <f t="shared" si="1"/>
        <v>2</v>
      </c>
      <c r="J10" s="17"/>
      <c r="K10" s="26"/>
      <c r="L10" s="26">
        <f t="shared" si="2"/>
        <v>2</v>
      </c>
      <c r="M10" s="17"/>
      <c r="N10" s="26"/>
      <c r="O10" s="26">
        <f t="shared" si="3"/>
        <v>2</v>
      </c>
      <c r="P10" s="17"/>
      <c r="Q10" s="26"/>
      <c r="R10" s="26">
        <f t="shared" si="4"/>
        <v>2</v>
      </c>
      <c r="S10" s="17"/>
      <c r="T10" s="26"/>
      <c r="U10" s="26">
        <f t="shared" si="5"/>
        <v>2</v>
      </c>
      <c r="V10" s="17"/>
      <c r="W10" s="26"/>
      <c r="X10" s="26">
        <f t="shared" si="6"/>
        <v>2</v>
      </c>
      <c r="Y10" s="17"/>
      <c r="Z10" s="26"/>
      <c r="AA10" s="26">
        <f t="shared" si="7"/>
        <v>2</v>
      </c>
      <c r="AB10" s="17"/>
      <c r="AC10" s="26"/>
      <c r="AD10" s="26">
        <f t="shared" si="8"/>
        <v>2</v>
      </c>
      <c r="AE10" s="17"/>
      <c r="AF10" s="26"/>
      <c r="AG10" s="26">
        <f t="shared" si="9"/>
        <v>2</v>
      </c>
      <c r="AH10" s="17"/>
      <c r="AI10" s="26"/>
      <c r="AJ10" s="26">
        <f t="shared" si="10"/>
        <v>2</v>
      </c>
      <c r="AK10" s="17"/>
      <c r="AL10" s="18">
        <f t="shared" si="11"/>
        <v>0</v>
      </c>
      <c r="AM10" s="18">
        <f t="shared" si="12"/>
        <v>2</v>
      </c>
    </row>
    <row r="11" ht="30.0" customHeight="1">
      <c r="A11" s="1"/>
      <c r="B11" s="20"/>
      <c r="C11" s="20"/>
      <c r="D11" s="12" t="s">
        <v>144</v>
      </c>
      <c r="E11" s="13" t="s">
        <v>111</v>
      </c>
      <c r="F11" s="13" t="s">
        <v>30</v>
      </c>
      <c r="G11" s="13">
        <v>3.0</v>
      </c>
      <c r="H11" s="26"/>
      <c r="I11" s="26">
        <f t="shared" si="1"/>
        <v>3</v>
      </c>
      <c r="J11" s="17"/>
      <c r="K11" s="26"/>
      <c r="L11" s="26">
        <f t="shared" si="2"/>
        <v>3</v>
      </c>
      <c r="M11" s="17"/>
      <c r="N11" s="26"/>
      <c r="O11" s="26">
        <f t="shared" si="3"/>
        <v>3</v>
      </c>
      <c r="P11" s="17"/>
      <c r="Q11" s="26"/>
      <c r="R11" s="26">
        <f t="shared" si="4"/>
        <v>3</v>
      </c>
      <c r="S11" s="17"/>
      <c r="T11" s="26"/>
      <c r="U11" s="26">
        <f t="shared" si="5"/>
        <v>3</v>
      </c>
      <c r="V11" s="17"/>
      <c r="W11" s="26"/>
      <c r="X11" s="26">
        <f t="shared" si="6"/>
        <v>3</v>
      </c>
      <c r="Y11" s="17"/>
      <c r="Z11" s="26"/>
      <c r="AA11" s="26">
        <f t="shared" si="7"/>
        <v>3</v>
      </c>
      <c r="AB11" s="17"/>
      <c r="AC11" s="26"/>
      <c r="AD11" s="26">
        <f t="shared" si="8"/>
        <v>3</v>
      </c>
      <c r="AE11" s="17"/>
      <c r="AF11" s="26"/>
      <c r="AG11" s="26">
        <f t="shared" si="9"/>
        <v>3</v>
      </c>
      <c r="AH11" s="17"/>
      <c r="AI11" s="26"/>
      <c r="AJ11" s="26">
        <f t="shared" si="10"/>
        <v>3</v>
      </c>
      <c r="AK11" s="17"/>
      <c r="AL11" s="18">
        <f t="shared" si="11"/>
        <v>0</v>
      </c>
      <c r="AM11" s="18">
        <f t="shared" si="12"/>
        <v>3</v>
      </c>
    </row>
    <row r="12" ht="30.0" customHeight="1">
      <c r="A12" s="1"/>
      <c r="B12" s="10" t="s">
        <v>145</v>
      </c>
      <c r="C12" s="11" t="s">
        <v>146</v>
      </c>
      <c r="D12" s="12" t="s">
        <v>147</v>
      </c>
      <c r="E12" s="13" t="s">
        <v>111</v>
      </c>
      <c r="F12" s="13" t="s">
        <v>30</v>
      </c>
      <c r="G12" s="13">
        <v>3.0</v>
      </c>
      <c r="H12" s="26"/>
      <c r="I12" s="26">
        <f t="shared" si="1"/>
        <v>3</v>
      </c>
      <c r="J12" s="17"/>
      <c r="K12" s="26"/>
      <c r="L12" s="26">
        <f t="shared" si="2"/>
        <v>3</v>
      </c>
      <c r="M12" s="17"/>
      <c r="N12" s="26"/>
      <c r="O12" s="26">
        <f t="shared" si="3"/>
        <v>3</v>
      </c>
      <c r="P12" s="17"/>
      <c r="Q12" s="26"/>
      <c r="R12" s="26">
        <f t="shared" si="4"/>
        <v>3</v>
      </c>
      <c r="S12" s="17"/>
      <c r="T12" s="26"/>
      <c r="U12" s="26">
        <f t="shared" si="5"/>
        <v>3</v>
      </c>
      <c r="V12" s="17"/>
      <c r="W12" s="26"/>
      <c r="X12" s="26">
        <f t="shared" si="6"/>
        <v>3</v>
      </c>
      <c r="Y12" s="17"/>
      <c r="Z12" s="26"/>
      <c r="AA12" s="26">
        <f t="shared" si="7"/>
        <v>3</v>
      </c>
      <c r="AB12" s="17"/>
      <c r="AC12" s="26"/>
      <c r="AD12" s="26">
        <f t="shared" si="8"/>
        <v>3</v>
      </c>
      <c r="AE12" s="17"/>
      <c r="AF12" s="26"/>
      <c r="AG12" s="26">
        <f t="shared" si="9"/>
        <v>3</v>
      </c>
      <c r="AH12" s="17"/>
      <c r="AI12" s="26"/>
      <c r="AJ12" s="26">
        <f t="shared" si="10"/>
        <v>3</v>
      </c>
      <c r="AK12" s="17"/>
      <c r="AL12" s="18">
        <f t="shared" si="11"/>
        <v>0</v>
      </c>
      <c r="AM12" s="18">
        <f t="shared" si="12"/>
        <v>3</v>
      </c>
    </row>
    <row r="13" ht="30.0" customHeight="1">
      <c r="A13" s="1"/>
      <c r="B13" s="20"/>
      <c r="C13" s="20"/>
      <c r="D13" s="12" t="s">
        <v>148</v>
      </c>
      <c r="E13" s="13" t="s">
        <v>111</v>
      </c>
      <c r="F13" s="13" t="s">
        <v>30</v>
      </c>
      <c r="G13" s="13">
        <v>3.0</v>
      </c>
      <c r="H13" s="26"/>
      <c r="I13" s="26">
        <f t="shared" si="1"/>
        <v>3</v>
      </c>
      <c r="J13" s="17"/>
      <c r="K13" s="26"/>
      <c r="L13" s="26">
        <f t="shared" si="2"/>
        <v>3</v>
      </c>
      <c r="M13" s="17"/>
      <c r="N13" s="26"/>
      <c r="O13" s="26">
        <f t="shared" si="3"/>
        <v>3</v>
      </c>
      <c r="P13" s="17"/>
      <c r="Q13" s="26"/>
      <c r="R13" s="26">
        <f t="shared" si="4"/>
        <v>3</v>
      </c>
      <c r="S13" s="17"/>
      <c r="T13" s="26"/>
      <c r="U13" s="26">
        <f t="shared" si="5"/>
        <v>3</v>
      </c>
      <c r="V13" s="17"/>
      <c r="W13" s="26"/>
      <c r="X13" s="26">
        <f t="shared" si="6"/>
        <v>3</v>
      </c>
      <c r="Y13" s="17"/>
      <c r="Z13" s="26"/>
      <c r="AA13" s="26">
        <f t="shared" si="7"/>
        <v>3</v>
      </c>
      <c r="AB13" s="17"/>
      <c r="AC13" s="26"/>
      <c r="AD13" s="26">
        <f t="shared" si="8"/>
        <v>3</v>
      </c>
      <c r="AE13" s="17"/>
      <c r="AF13" s="26"/>
      <c r="AG13" s="26">
        <f t="shared" si="9"/>
        <v>3</v>
      </c>
      <c r="AH13" s="17"/>
      <c r="AI13" s="26"/>
      <c r="AJ13" s="26">
        <f t="shared" si="10"/>
        <v>3</v>
      </c>
      <c r="AK13" s="17"/>
      <c r="AL13" s="18">
        <f t="shared" si="11"/>
        <v>0</v>
      </c>
      <c r="AM13" s="18">
        <f t="shared" si="12"/>
        <v>3</v>
      </c>
    </row>
    <row r="14" ht="30.0" customHeight="1">
      <c r="A14" s="1"/>
      <c r="B14" s="10" t="s">
        <v>149</v>
      </c>
      <c r="C14" s="11" t="s">
        <v>150</v>
      </c>
      <c r="D14" s="12" t="s">
        <v>151</v>
      </c>
      <c r="E14" s="13" t="s">
        <v>111</v>
      </c>
      <c r="F14" s="13" t="s">
        <v>30</v>
      </c>
      <c r="G14" s="13">
        <v>2.0</v>
      </c>
      <c r="H14" s="26"/>
      <c r="I14" s="26">
        <f t="shared" si="1"/>
        <v>2</v>
      </c>
      <c r="J14" s="17"/>
      <c r="K14" s="26"/>
      <c r="L14" s="26">
        <f t="shared" si="2"/>
        <v>2</v>
      </c>
      <c r="M14" s="17"/>
      <c r="N14" s="26"/>
      <c r="O14" s="26">
        <f t="shared" si="3"/>
        <v>2</v>
      </c>
      <c r="P14" s="17"/>
      <c r="Q14" s="26"/>
      <c r="R14" s="26">
        <f t="shared" si="4"/>
        <v>2</v>
      </c>
      <c r="S14" s="17"/>
      <c r="T14" s="26"/>
      <c r="U14" s="26">
        <f t="shared" si="5"/>
        <v>2</v>
      </c>
      <c r="V14" s="17"/>
      <c r="W14" s="26"/>
      <c r="X14" s="26">
        <f t="shared" si="6"/>
        <v>2</v>
      </c>
      <c r="Y14" s="17"/>
      <c r="Z14" s="26"/>
      <c r="AA14" s="26">
        <f t="shared" si="7"/>
        <v>2</v>
      </c>
      <c r="AB14" s="17"/>
      <c r="AC14" s="26"/>
      <c r="AD14" s="26">
        <f t="shared" si="8"/>
        <v>2</v>
      </c>
      <c r="AE14" s="17"/>
      <c r="AF14" s="26"/>
      <c r="AG14" s="26">
        <f t="shared" si="9"/>
        <v>2</v>
      </c>
      <c r="AH14" s="17"/>
      <c r="AI14" s="26"/>
      <c r="AJ14" s="26">
        <f t="shared" si="10"/>
        <v>2</v>
      </c>
      <c r="AK14" s="17"/>
      <c r="AL14" s="18">
        <f t="shared" si="11"/>
        <v>0</v>
      </c>
      <c r="AM14" s="18">
        <f t="shared" si="12"/>
        <v>2</v>
      </c>
    </row>
    <row r="15" ht="30.0" customHeight="1">
      <c r="A15" s="1"/>
      <c r="B15" s="20"/>
      <c r="C15" s="20"/>
      <c r="D15" s="12" t="s">
        <v>152</v>
      </c>
      <c r="E15" s="13" t="s">
        <v>111</v>
      </c>
      <c r="F15" s="13" t="s">
        <v>30</v>
      </c>
      <c r="G15" s="13">
        <v>2.0</v>
      </c>
      <c r="H15" s="26"/>
      <c r="I15" s="26">
        <f t="shared" si="1"/>
        <v>2</v>
      </c>
      <c r="J15" s="17"/>
      <c r="K15" s="26"/>
      <c r="L15" s="26">
        <f t="shared" si="2"/>
        <v>2</v>
      </c>
      <c r="M15" s="17"/>
      <c r="N15" s="26"/>
      <c r="O15" s="26">
        <f t="shared" si="3"/>
        <v>2</v>
      </c>
      <c r="P15" s="17"/>
      <c r="Q15" s="26"/>
      <c r="R15" s="26">
        <f t="shared" si="4"/>
        <v>2</v>
      </c>
      <c r="S15" s="17"/>
      <c r="T15" s="26"/>
      <c r="U15" s="26">
        <f t="shared" si="5"/>
        <v>2</v>
      </c>
      <c r="V15" s="17"/>
      <c r="W15" s="26"/>
      <c r="X15" s="26">
        <f t="shared" si="6"/>
        <v>2</v>
      </c>
      <c r="Y15" s="17"/>
      <c r="Z15" s="26"/>
      <c r="AA15" s="26">
        <f t="shared" si="7"/>
        <v>2</v>
      </c>
      <c r="AB15" s="17"/>
      <c r="AC15" s="26"/>
      <c r="AD15" s="26">
        <f t="shared" si="8"/>
        <v>2</v>
      </c>
      <c r="AE15" s="17"/>
      <c r="AF15" s="26"/>
      <c r="AG15" s="26">
        <f t="shared" si="9"/>
        <v>2</v>
      </c>
      <c r="AH15" s="17"/>
      <c r="AI15" s="26"/>
      <c r="AJ15" s="26">
        <f t="shared" si="10"/>
        <v>2</v>
      </c>
      <c r="AK15" s="17"/>
      <c r="AL15" s="18">
        <f t="shared" si="11"/>
        <v>0</v>
      </c>
      <c r="AM15" s="18">
        <f t="shared" si="12"/>
        <v>2</v>
      </c>
    </row>
    <row r="16" ht="30.0" customHeight="1">
      <c r="A16" s="1"/>
      <c r="B16" s="10" t="s">
        <v>153</v>
      </c>
      <c r="C16" s="11" t="s">
        <v>154</v>
      </c>
      <c r="D16" s="12" t="s">
        <v>155</v>
      </c>
      <c r="E16" s="13" t="s">
        <v>111</v>
      </c>
      <c r="F16" s="13" t="s">
        <v>30</v>
      </c>
      <c r="G16" s="13">
        <v>3.0</v>
      </c>
      <c r="H16" s="26"/>
      <c r="I16" s="26">
        <f t="shared" si="1"/>
        <v>3</v>
      </c>
      <c r="J16" s="17"/>
      <c r="K16" s="26"/>
      <c r="L16" s="26">
        <f t="shared" si="2"/>
        <v>3</v>
      </c>
      <c r="M16" s="17"/>
      <c r="N16" s="26"/>
      <c r="O16" s="26">
        <f t="shared" si="3"/>
        <v>3</v>
      </c>
      <c r="P16" s="17"/>
      <c r="Q16" s="26"/>
      <c r="R16" s="26">
        <f t="shared" si="4"/>
        <v>3</v>
      </c>
      <c r="S16" s="17"/>
      <c r="T16" s="26"/>
      <c r="U16" s="26">
        <f t="shared" si="5"/>
        <v>3</v>
      </c>
      <c r="V16" s="17"/>
      <c r="W16" s="26"/>
      <c r="X16" s="26">
        <f t="shared" si="6"/>
        <v>3</v>
      </c>
      <c r="Y16" s="17"/>
      <c r="Z16" s="26"/>
      <c r="AA16" s="26">
        <f t="shared" si="7"/>
        <v>3</v>
      </c>
      <c r="AB16" s="17"/>
      <c r="AC16" s="26"/>
      <c r="AD16" s="26">
        <f t="shared" si="8"/>
        <v>3</v>
      </c>
      <c r="AE16" s="17"/>
      <c r="AF16" s="26"/>
      <c r="AG16" s="26">
        <f t="shared" si="9"/>
        <v>3</v>
      </c>
      <c r="AH16" s="17"/>
      <c r="AI16" s="26"/>
      <c r="AJ16" s="26">
        <f t="shared" si="10"/>
        <v>3</v>
      </c>
      <c r="AK16" s="17"/>
      <c r="AL16" s="18">
        <f t="shared" si="11"/>
        <v>0</v>
      </c>
      <c r="AM16" s="18">
        <f t="shared" si="12"/>
        <v>3</v>
      </c>
    </row>
    <row r="17" ht="30.0" customHeight="1">
      <c r="A17" s="9"/>
      <c r="B17" s="19"/>
      <c r="C17" s="19"/>
      <c r="D17" s="12" t="s">
        <v>156</v>
      </c>
      <c r="E17" s="13" t="s">
        <v>111</v>
      </c>
      <c r="F17" s="13" t="s">
        <v>30</v>
      </c>
      <c r="G17" s="13">
        <v>3.0</v>
      </c>
      <c r="H17" s="26"/>
      <c r="I17" s="26">
        <f t="shared" si="1"/>
        <v>3</v>
      </c>
      <c r="J17" s="17"/>
      <c r="K17" s="26"/>
      <c r="L17" s="26">
        <f t="shared" si="2"/>
        <v>3</v>
      </c>
      <c r="M17" s="17"/>
      <c r="N17" s="26"/>
      <c r="O17" s="26">
        <f t="shared" si="3"/>
        <v>3</v>
      </c>
      <c r="P17" s="17"/>
      <c r="Q17" s="26"/>
      <c r="R17" s="26">
        <f t="shared" si="4"/>
        <v>3</v>
      </c>
      <c r="S17" s="17"/>
      <c r="T17" s="26"/>
      <c r="U17" s="26">
        <f t="shared" si="5"/>
        <v>3</v>
      </c>
      <c r="V17" s="17"/>
      <c r="W17" s="26"/>
      <c r="X17" s="26">
        <f t="shared" si="6"/>
        <v>3</v>
      </c>
      <c r="Y17" s="17"/>
      <c r="Z17" s="26"/>
      <c r="AA17" s="26">
        <f t="shared" si="7"/>
        <v>3</v>
      </c>
      <c r="AB17" s="17"/>
      <c r="AC17" s="26"/>
      <c r="AD17" s="26">
        <f t="shared" si="8"/>
        <v>3</v>
      </c>
      <c r="AE17" s="17"/>
      <c r="AF17" s="26"/>
      <c r="AG17" s="26">
        <f t="shared" si="9"/>
        <v>3</v>
      </c>
      <c r="AH17" s="17"/>
      <c r="AI17" s="26"/>
      <c r="AJ17" s="26">
        <f t="shared" si="10"/>
        <v>3</v>
      </c>
      <c r="AK17" s="17"/>
      <c r="AL17" s="18">
        <f t="shared" si="11"/>
        <v>0</v>
      </c>
      <c r="AM17" s="18">
        <f t="shared" si="12"/>
        <v>3</v>
      </c>
    </row>
    <row r="18" ht="30.0" customHeight="1">
      <c r="A18" s="9"/>
      <c r="B18" s="20"/>
      <c r="C18" s="20"/>
      <c r="D18" s="12" t="s">
        <v>157</v>
      </c>
      <c r="E18" s="13" t="s">
        <v>111</v>
      </c>
      <c r="F18" s="13" t="s">
        <v>30</v>
      </c>
      <c r="G18" s="13">
        <v>2.0</v>
      </c>
      <c r="H18" s="26"/>
      <c r="I18" s="26">
        <f t="shared" si="1"/>
        <v>2</v>
      </c>
      <c r="J18" s="17"/>
      <c r="K18" s="26"/>
      <c r="L18" s="26">
        <f t="shared" si="2"/>
        <v>2</v>
      </c>
      <c r="M18" s="17"/>
      <c r="N18" s="26"/>
      <c r="O18" s="26">
        <f t="shared" si="3"/>
        <v>2</v>
      </c>
      <c r="P18" s="17"/>
      <c r="Q18" s="26"/>
      <c r="R18" s="26">
        <f t="shared" si="4"/>
        <v>2</v>
      </c>
      <c r="S18" s="17"/>
      <c r="T18" s="26"/>
      <c r="U18" s="26">
        <f t="shared" si="5"/>
        <v>2</v>
      </c>
      <c r="V18" s="17"/>
      <c r="W18" s="26"/>
      <c r="X18" s="26">
        <f t="shared" si="6"/>
        <v>2</v>
      </c>
      <c r="Y18" s="17"/>
      <c r="Z18" s="26"/>
      <c r="AA18" s="26">
        <f t="shared" si="7"/>
        <v>2</v>
      </c>
      <c r="AB18" s="17"/>
      <c r="AC18" s="26"/>
      <c r="AD18" s="26">
        <f t="shared" si="8"/>
        <v>2</v>
      </c>
      <c r="AE18" s="17"/>
      <c r="AF18" s="26"/>
      <c r="AG18" s="26">
        <f t="shared" si="9"/>
        <v>2</v>
      </c>
      <c r="AH18" s="17"/>
      <c r="AI18" s="26"/>
      <c r="AJ18" s="26">
        <f t="shared" si="10"/>
        <v>2</v>
      </c>
      <c r="AK18" s="17"/>
      <c r="AL18" s="18">
        <f t="shared" si="11"/>
        <v>0</v>
      </c>
      <c r="AM18" s="18">
        <f t="shared" si="12"/>
        <v>2</v>
      </c>
    </row>
    <row r="19">
      <c r="A19" s="1"/>
      <c r="B19" s="27"/>
      <c r="C19" s="27"/>
      <c r="D19" s="27"/>
      <c r="E19" s="27"/>
      <c r="F19" s="27"/>
      <c r="G19" s="30" t="s">
        <v>134</v>
      </c>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row>
  </sheetData>
  <mergeCells count="21">
    <mergeCell ref="AC4:AD4"/>
    <mergeCell ref="AF4:AG4"/>
    <mergeCell ref="AI4:AJ4"/>
    <mergeCell ref="H4:I4"/>
    <mergeCell ref="K4:L4"/>
    <mergeCell ref="N4:O4"/>
    <mergeCell ref="Q4:R4"/>
    <mergeCell ref="T4:U4"/>
    <mergeCell ref="W4:X4"/>
    <mergeCell ref="Z4:AA4"/>
    <mergeCell ref="C9:C11"/>
    <mergeCell ref="C6:C8"/>
    <mergeCell ref="C16:C18"/>
    <mergeCell ref="B16:B18"/>
    <mergeCell ref="B14:B15"/>
    <mergeCell ref="C14:C15"/>
    <mergeCell ref="C12:C13"/>
    <mergeCell ref="B12:B13"/>
    <mergeCell ref="B9:B11"/>
    <mergeCell ref="B6:B8"/>
    <mergeCell ref="AL4:AM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24.25"/>
    <col customWidth="1" min="3" max="3" width="75.25"/>
    <col customWidth="1" min="4" max="4" width="2.5"/>
    <col customWidth="1" min="5" max="6" width="10.0"/>
    <col customWidth="1" min="7" max="26" width="9.38"/>
  </cols>
  <sheetData>
    <row r="1">
      <c r="A1" s="1"/>
      <c r="B1" s="2" t="s">
        <v>158</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31" t="s">
        <v>159</v>
      </c>
      <c r="C4" s="31" t="s">
        <v>160</v>
      </c>
      <c r="D4" s="1"/>
      <c r="E4" s="1"/>
      <c r="F4" s="1"/>
      <c r="G4" s="1"/>
      <c r="H4" s="1"/>
      <c r="I4" s="1"/>
      <c r="J4" s="1"/>
      <c r="K4" s="1"/>
      <c r="L4" s="1"/>
      <c r="M4" s="1"/>
      <c r="N4" s="1"/>
      <c r="O4" s="1"/>
      <c r="P4" s="1"/>
      <c r="Q4" s="1"/>
      <c r="R4" s="1"/>
      <c r="S4" s="1"/>
      <c r="T4" s="1"/>
      <c r="U4" s="1"/>
      <c r="V4" s="1"/>
      <c r="W4" s="1"/>
      <c r="X4" s="1"/>
      <c r="Y4" s="1"/>
      <c r="Z4" s="1"/>
    </row>
    <row r="5">
      <c r="A5" s="1"/>
      <c r="B5" s="32" t="str">
        <f>'Sprint Backlog_1'!B5</f>
        <v>Identificador (ID) de item de product backlog</v>
      </c>
      <c r="C5" s="32" t="s">
        <v>161</v>
      </c>
      <c r="D5" s="1"/>
      <c r="E5" s="1"/>
      <c r="F5" s="1"/>
      <c r="G5" s="1"/>
      <c r="H5" s="1"/>
      <c r="I5" s="1"/>
      <c r="J5" s="1"/>
      <c r="K5" s="1"/>
      <c r="L5" s="1"/>
      <c r="M5" s="1"/>
      <c r="N5" s="1"/>
      <c r="O5" s="1"/>
      <c r="P5" s="1"/>
      <c r="Q5" s="1"/>
      <c r="R5" s="1"/>
      <c r="S5" s="1"/>
      <c r="T5" s="1"/>
      <c r="U5" s="1"/>
      <c r="V5" s="1"/>
      <c r="W5" s="1"/>
      <c r="X5" s="1"/>
      <c r="Y5" s="1"/>
      <c r="Z5" s="1"/>
    </row>
    <row r="6">
      <c r="A6" s="1"/>
      <c r="B6" s="32" t="str">
        <f>'Sprint Backlog_1'!C5</f>
        <v>Enunciado del item de Product Backlog</v>
      </c>
      <c r="C6" s="32" t="s">
        <v>162</v>
      </c>
      <c r="D6" s="1"/>
      <c r="E6" s="1"/>
      <c r="F6" s="1"/>
      <c r="G6" s="1"/>
      <c r="H6" s="1"/>
      <c r="I6" s="1"/>
      <c r="J6" s="1"/>
      <c r="K6" s="1"/>
      <c r="L6" s="1"/>
      <c r="M6" s="1"/>
      <c r="N6" s="1"/>
      <c r="O6" s="1"/>
      <c r="P6" s="1"/>
      <c r="Q6" s="1"/>
      <c r="R6" s="1"/>
      <c r="S6" s="1"/>
      <c r="T6" s="1"/>
      <c r="U6" s="1"/>
      <c r="V6" s="1"/>
      <c r="W6" s="1"/>
      <c r="X6" s="1"/>
      <c r="Y6" s="1"/>
      <c r="Z6" s="1"/>
    </row>
    <row r="7">
      <c r="A7" s="1"/>
      <c r="B7" s="32" t="s">
        <v>16</v>
      </c>
      <c r="C7" s="32" t="s">
        <v>163</v>
      </c>
      <c r="D7" s="1"/>
      <c r="E7" s="1"/>
      <c r="F7" s="1"/>
      <c r="G7" s="1"/>
      <c r="H7" s="1"/>
      <c r="I7" s="1"/>
      <c r="J7" s="1"/>
      <c r="K7" s="1"/>
      <c r="L7" s="1"/>
      <c r="M7" s="1"/>
      <c r="N7" s="1"/>
      <c r="O7" s="1"/>
      <c r="P7" s="1"/>
      <c r="Q7" s="1"/>
      <c r="R7" s="1"/>
      <c r="S7" s="1"/>
      <c r="T7" s="1"/>
      <c r="U7" s="1"/>
      <c r="V7" s="1"/>
      <c r="W7" s="1"/>
      <c r="X7" s="1"/>
      <c r="Y7" s="1"/>
      <c r="Z7" s="1"/>
    </row>
    <row r="8">
      <c r="A8" s="1"/>
      <c r="B8" s="32" t="s">
        <v>17</v>
      </c>
      <c r="C8" s="32" t="s">
        <v>164</v>
      </c>
      <c r="D8" s="1"/>
      <c r="E8" s="1"/>
      <c r="F8" s="1"/>
      <c r="G8" s="1"/>
      <c r="H8" s="1"/>
      <c r="I8" s="1"/>
      <c r="J8" s="1"/>
      <c r="K8" s="1"/>
      <c r="L8" s="1"/>
      <c r="M8" s="1"/>
      <c r="N8" s="1"/>
      <c r="O8" s="1"/>
      <c r="P8" s="1"/>
      <c r="Q8" s="1"/>
      <c r="R8" s="1"/>
      <c r="S8" s="1"/>
      <c r="T8" s="1"/>
      <c r="U8" s="1"/>
      <c r="V8" s="1"/>
      <c r="W8" s="1"/>
      <c r="X8" s="1"/>
      <c r="Y8" s="1"/>
      <c r="Z8" s="1"/>
    </row>
    <row r="9">
      <c r="A9" s="1"/>
      <c r="B9" s="32" t="s">
        <v>18</v>
      </c>
      <c r="C9" s="32" t="s">
        <v>165</v>
      </c>
      <c r="D9" s="1"/>
      <c r="E9" s="1"/>
      <c r="F9" s="1"/>
      <c r="G9" s="1"/>
      <c r="H9" s="1"/>
      <c r="I9" s="1"/>
      <c r="J9" s="1"/>
      <c r="K9" s="1"/>
      <c r="L9" s="1"/>
      <c r="M9" s="1"/>
      <c r="N9" s="1"/>
      <c r="O9" s="1"/>
      <c r="P9" s="1"/>
      <c r="Q9" s="1"/>
      <c r="R9" s="1"/>
      <c r="S9" s="1"/>
      <c r="T9" s="1"/>
      <c r="U9" s="1"/>
      <c r="V9" s="1"/>
      <c r="W9" s="1"/>
      <c r="X9" s="1"/>
      <c r="Y9" s="1"/>
      <c r="Z9" s="1"/>
    </row>
    <row r="10">
      <c r="A10" s="1"/>
      <c r="B10" s="32" t="s">
        <v>19</v>
      </c>
      <c r="C10" s="32" t="s">
        <v>166</v>
      </c>
      <c r="D10" s="1"/>
      <c r="E10" s="1"/>
      <c r="F10" s="1"/>
      <c r="G10" s="1"/>
      <c r="H10" s="1"/>
      <c r="I10" s="1"/>
      <c r="J10" s="1"/>
      <c r="K10" s="1"/>
      <c r="L10" s="1"/>
      <c r="M10" s="1"/>
      <c r="N10" s="1"/>
      <c r="O10" s="1"/>
      <c r="P10" s="1"/>
      <c r="Q10" s="1"/>
      <c r="R10" s="1"/>
      <c r="S10" s="1"/>
      <c r="T10" s="1"/>
      <c r="U10" s="1"/>
      <c r="V10" s="1"/>
      <c r="W10" s="1"/>
      <c r="X10" s="1"/>
      <c r="Y10" s="1"/>
      <c r="Z10" s="1"/>
    </row>
    <row r="11">
      <c r="A11" s="1"/>
      <c r="B11" s="32" t="s">
        <v>167</v>
      </c>
      <c r="C11" s="32" t="s">
        <v>168</v>
      </c>
      <c r="D11" s="1"/>
      <c r="E11" s="1"/>
      <c r="F11" s="1"/>
      <c r="G11" s="1"/>
      <c r="H11" s="1"/>
      <c r="I11" s="1"/>
      <c r="J11" s="1"/>
      <c r="K11" s="1"/>
      <c r="L11" s="1"/>
      <c r="M11" s="1"/>
      <c r="N11" s="1"/>
      <c r="O11" s="1"/>
      <c r="P11" s="1"/>
      <c r="Q11" s="1"/>
      <c r="R11" s="1"/>
      <c r="S11" s="1"/>
      <c r="T11" s="1"/>
      <c r="U11" s="1"/>
      <c r="V11" s="1"/>
      <c r="W11" s="1"/>
      <c r="X11" s="1"/>
      <c r="Y11" s="1"/>
      <c r="Z11" s="1"/>
    </row>
    <row r="12">
      <c r="A12" s="1"/>
      <c r="B12" s="32" t="s">
        <v>20</v>
      </c>
      <c r="C12" s="32" t="s">
        <v>169</v>
      </c>
      <c r="D12" s="1"/>
      <c r="E12" s="1"/>
      <c r="F12" s="1"/>
      <c r="G12" s="1"/>
      <c r="H12" s="1"/>
      <c r="I12" s="1"/>
      <c r="J12" s="1"/>
      <c r="K12" s="1"/>
      <c r="L12" s="1"/>
      <c r="M12" s="1"/>
      <c r="N12" s="1"/>
      <c r="O12" s="1"/>
      <c r="P12" s="1"/>
      <c r="Q12" s="1"/>
      <c r="R12" s="1"/>
      <c r="S12" s="1"/>
      <c r="T12" s="1"/>
      <c r="U12" s="1"/>
      <c r="V12" s="1"/>
      <c r="W12" s="1"/>
      <c r="X12" s="1"/>
      <c r="Y12" s="1"/>
      <c r="Z12" s="1"/>
    </row>
    <row r="13">
      <c r="A13" s="1"/>
      <c r="B13" s="32" t="s">
        <v>21</v>
      </c>
      <c r="C13" s="32" t="s">
        <v>170</v>
      </c>
      <c r="D13" s="1"/>
      <c r="E13" s="1"/>
      <c r="F13" s="1"/>
      <c r="G13" s="1"/>
      <c r="H13" s="1"/>
      <c r="I13" s="1"/>
      <c r="J13" s="1"/>
      <c r="K13" s="1"/>
      <c r="L13" s="1"/>
      <c r="M13" s="1"/>
      <c r="N13" s="1"/>
      <c r="O13" s="1"/>
      <c r="P13" s="1"/>
      <c r="Q13" s="1"/>
      <c r="R13" s="1"/>
      <c r="S13" s="1"/>
      <c r="T13" s="1"/>
      <c r="U13" s="1"/>
      <c r="V13" s="1"/>
      <c r="W13" s="1"/>
      <c r="X13" s="1"/>
      <c r="Y13" s="1"/>
      <c r="Z13" s="1"/>
    </row>
    <row r="14">
      <c r="A14" s="1"/>
      <c r="B14" s="32" t="s">
        <v>13</v>
      </c>
      <c r="C14" s="32" t="s">
        <v>171</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